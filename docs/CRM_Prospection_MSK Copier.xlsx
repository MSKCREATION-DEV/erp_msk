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7561421A-9994-4B59-B8F6-0C782BD15EBF}" xr6:coauthVersionLast="47" xr6:coauthVersionMax="47" xr10:uidLastSave="{00000000-0000-0000-0000-000000000000}"/>
  <bookViews>
    <workbookView xWindow="0" yWindow="0" windowWidth="16384" windowHeight="8192" tabRatio="500" firstSheet="1" activeTab="1" xr2:uid="{00000000-000D-0000-FFFF-FFFF00000000}"/>
  </bookViews>
  <sheets>
    <sheet name="📖 GUIDE" sheetId="1" r:id="rId1"/>
    <sheet name="🎯 PROSPECTS" sheetId="2" r:id="rId2"/>
    <sheet name="Feuil3" sheetId="9" r:id="rId3"/>
    <sheet name="Feuil2" sheetId="8" r:id="rId4"/>
    <sheet name="📊 TABLEAU BORD" sheetId="3" r:id="rId5"/>
    <sheet name="📝 SCRIPTS" sheetId="4" r:id="rId6"/>
    <sheet name="🗂  LISTES" sheetId="5" r:id="rId7"/>
    <sheet name="Rapport hebdo Madina" sheetId="6" r:id="rId8"/>
    <sheet name="Feuil1" sheetId="7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3" l="1"/>
  <c r="I28" i="3"/>
  <c r="I27" i="3"/>
  <c r="I26" i="3"/>
  <c r="I25" i="3"/>
  <c r="E21" i="3"/>
  <c r="E20" i="3"/>
  <c r="E19" i="3"/>
  <c r="H14" i="3"/>
  <c r="E14" i="3"/>
  <c r="B14" i="3"/>
  <c r="H10" i="3"/>
  <c r="E10" i="3"/>
  <c r="H6" i="3"/>
  <c r="E6" i="3"/>
  <c r="B6" i="3"/>
</calcChain>
</file>

<file path=xl/sharedStrings.xml><?xml version="1.0" encoding="utf-8"?>
<sst xmlns="http://schemas.openxmlformats.org/spreadsheetml/2006/main" count="1162" uniqueCount="450">
  <si>
    <t>MSK CRÉATION — CRM Prospection Commerciale</t>
  </si>
  <si>
    <t>Système de suivi prospects — Devise : € (Euro) — Mis à jour : Avril 2026</t>
  </si>
  <si>
    <t>📋  ONGLETS DU FICHIER</t>
  </si>
  <si>
    <t>Onglet</t>
  </si>
  <si>
    <t>Description</t>
  </si>
  <si>
    <t>Usage</t>
  </si>
  <si>
    <t>📖 GUIDE</t>
  </si>
  <si>
    <t>Ce guide d'utilisation</t>
  </si>
  <si>
    <t>À lire une fois avant de commencer</t>
  </si>
  <si>
    <t>🎯 PROSPECTS</t>
  </si>
  <si>
    <t>Le CRM principal — tous vos prospects</t>
  </si>
  <si>
    <t>Onglet à utiliser chaque jour</t>
  </si>
  <si>
    <t>📊 TABLEAU BORD</t>
  </si>
  <si>
    <t>KPI et graphiques de performance</t>
  </si>
  <si>
    <t>Consulter chaque vendredi</t>
  </si>
  <si>
    <t>📝 SCRIPTS</t>
  </si>
  <si>
    <t>Messages prêts à envoyer (IG, LinkedIn, WA)</t>
  </si>
  <si>
    <t>Copier-coller et adapter</t>
  </si>
  <si>
    <t>🗂  LISTES</t>
  </si>
  <si>
    <t>Valeurs des listes déroulantes</t>
  </si>
  <si>
    <t>Ne pas modifier directement</t>
  </si>
  <si>
    <t>🎯  RÈGLES D'UTILISATION</t>
  </si>
  <si>
    <t>Règle</t>
  </si>
  <si>
    <t>✅  Mise à jour</t>
  </si>
  <si>
    <t>Remplir l'Excel APRÈS chaque action — jamais le lendemain</t>
  </si>
  <si>
    <t>✅  Volume</t>
  </si>
  <si>
    <t>Ajouter minimum 5 nouveaux prospects par jour</t>
  </si>
  <si>
    <t>✅  Relances</t>
  </si>
  <si>
    <t>Minimum 3 relances avant de passer un prospect en PERDU</t>
  </si>
  <si>
    <t>✅  Statuts</t>
  </si>
  <si>
    <t>Toujours mettre le statut à jour — c'est le cœur du système</t>
  </si>
  <si>
    <t>✅  Date relance</t>
  </si>
  <si>
    <t>Colonne K (Date relance) doit TOUJOURS être remplie — jamais vide</t>
  </si>
  <si>
    <t>✅  Client chaud</t>
  </si>
  <si>
    <t>Devis envoyé dans les 2 heures dès qu'un signal d'intérêt est détecté</t>
  </si>
  <si>
    <t>✅  Recommandations</t>
  </si>
  <si>
    <t>Chaque client signé = demander 2 noms de nouveaux prospects</t>
  </si>
  <si>
    <t>✅  Revue hebdo</t>
  </si>
  <si>
    <t>Chaque vendredi : vérifier le tableau de bord et ajuster</t>
  </si>
  <si>
    <t>📊  PIPELINE DES STATUTS</t>
  </si>
  <si>
    <t>Statut</t>
  </si>
  <si>
    <t>Signification</t>
  </si>
  <si>
    <t>À CONTACTER</t>
  </si>
  <si>
    <t>Prospect identifié, pas encore contacté</t>
  </si>
  <si>
    <t>CONTACTÉ</t>
  </si>
  <si>
    <t>1er message envoyé — attente de réponse</t>
  </si>
  <si>
    <t>EN COURS</t>
  </si>
  <si>
    <t>Échange en cours — intérêt partiel</t>
  </si>
  <si>
    <t>INTÉRESSÉ</t>
  </si>
  <si>
    <t>Intérêt concret — envoyer devis sous 24h</t>
  </si>
  <si>
    <t>DEVIS ENVOYÉ</t>
  </si>
  <si>
    <t>Devis transmis — relancer dans 48h si pas de retour</t>
  </si>
  <si>
    <t>CLIENT ✅</t>
  </si>
  <si>
    <t>Accord obtenu — projet lancé</t>
  </si>
  <si>
    <t>PERDU ❌</t>
  </si>
  <si>
    <t>Refus ou sans réponse x3 — archiver + relancer dans 3 mois</t>
  </si>
  <si>
    <t>PIPELINE STADE</t>
  </si>
  <si>
    <t>NOUVEAU</t>
  </si>
  <si>
    <t>A QUALIFIER</t>
  </si>
  <si>
    <t>CLOSING</t>
  </si>
  <si>
    <t>NEGOCIATION</t>
  </si>
  <si>
    <t>PROPOSITION</t>
  </si>
  <si>
    <t>PROPECTION</t>
  </si>
  <si>
    <t>QUALIFICATION</t>
  </si>
  <si>
    <t>#</t>
  </si>
  <si>
    <t>🏢 Entreprise</t>
  </si>
  <si>
    <t>👤 Nom Contact</t>
  </si>
  <si>
    <t>💼 Poste</t>
  </si>
  <si>
    <t>📞 Téléphone</t>
  </si>
  <si>
    <t>📧 Email</t>
  </si>
  <si>
    <t>🔍 Source</t>
  </si>
  <si>
    <t>📅 1er Contact</t>
  </si>
  <si>
    <t>🔖 STATUT</t>
  </si>
  <si>
    <t>✅ Dernière Action</t>
  </si>
  <si>
    <t>➡️ Prochaine Action</t>
  </si>
  <si>
    <t>⏰ Date Relance</t>
  </si>
  <si>
    <t>💼 Offre Proposée</t>
  </si>
  <si>
    <t>💶 Budget (€)</t>
  </si>
  <si>
    <t>📝 Notes</t>
  </si>
  <si>
    <t>date de creation</t>
  </si>
  <si>
    <t>Prosposition</t>
  </si>
  <si>
    <t>Probabilité</t>
  </si>
  <si>
    <t>Responsable</t>
  </si>
  <si>
    <t>Melya Beauty SARL</t>
  </si>
  <si>
    <t>Fatoumata Koné</t>
  </si>
  <si>
    <t>Directrice</t>
  </si>
  <si>
    <t>+33 6 12 34 56 78</t>
  </si>
  <si>
    <t>f.kone@melyabeauty.com</t>
  </si>
  <si>
    <t>Instagram</t>
  </si>
  <si>
    <t>08/04/2026</t>
  </si>
  <si>
    <t>Message IG envoyé le 08/04</t>
  </si>
  <si>
    <t>Relance WhatsApp</t>
  </si>
  <si>
    <t>11/04/2026</t>
  </si>
  <si>
    <t>Site vitrine 800€</t>
  </si>
  <si>
    <t>Très active sur IG. Pas de site web actuellement.</t>
  </si>
  <si>
    <t xml:space="preserve">Mathieu </t>
  </si>
  <si>
    <t>Resto La Terrasse</t>
  </si>
  <si>
    <t>Moussa Traoré</t>
  </si>
  <si>
    <t>Gérant</t>
  </si>
  <si>
    <t>+33 6 98 76 54 32</t>
  </si>
  <si>
    <t>m.traore@laterrasse.fr</t>
  </si>
  <si>
    <t>Terrain</t>
  </si>
  <si>
    <t>03/04/2026</t>
  </si>
  <si>
    <t>Call 15 min le 07/04</t>
  </si>
  <si>
    <t>Envoyer devis sous 24h</t>
  </si>
  <si>
    <t>09/04/2026</t>
  </si>
  <si>
    <t>Site + photos 1200€</t>
  </si>
  <si>
    <t>Cherche à attirer touristes. Pas de site. Budget OK.</t>
  </si>
  <si>
    <t>ELVI Creation</t>
  </si>
  <si>
    <t>Elvire Diallo</t>
  </si>
  <si>
    <t>CEO</t>
  </si>
  <si>
    <t>+33 7 45 67 89 01</t>
  </si>
  <si>
    <t>e.diallo@elvicreation.com</t>
  </si>
  <si>
    <t>LinkedIn</t>
  </si>
  <si>
    <t>15/03/2026</t>
  </si>
  <si>
    <t>Contrat signé le 01/04</t>
  </si>
  <si>
    <t>Livraison site J+14</t>
  </si>
  <si>
    <t>E-commerce 1500€</t>
  </si>
  <si>
    <t>Payé 50% acompte. Très satisfaite. Recommandation possible.</t>
  </si>
  <si>
    <t>Cabinet Dr. Sangare</t>
  </si>
  <si>
    <t>Dr. Aissata Sangaré</t>
  </si>
  <si>
    <t>Médecin</t>
  </si>
  <si>
    <t>+33 6 23 45 67 89</t>
  </si>
  <si>
    <t>Recommandation</t>
  </si>
  <si>
    <t>05/04/2026</t>
  </si>
  <si>
    <t>1er échange WhatsApp</t>
  </si>
  <si>
    <t>Call de qualification</t>
  </si>
  <si>
    <t>12/04/2026</t>
  </si>
  <si>
    <t>Site vitrine 600€</t>
  </si>
  <si>
    <t>Référée par Melya Beauty. Prudente — besoin de rassurance.</t>
  </si>
  <si>
    <t>Mode Africaine Paris</t>
  </si>
  <si>
    <t>Kader Coulibaly</t>
  </si>
  <si>
    <t>Fondateur</t>
  </si>
  <si>
    <t>+33 7 89 01 23 45</t>
  </si>
  <si>
    <t>k.coulibaly@modeafricaine.fr</t>
  </si>
  <si>
    <t>06/04/2026</t>
  </si>
  <si>
    <t>Envoyer 1er message IG</t>
  </si>
  <si>
    <t>Branding + réseaux 500€/mois</t>
  </si>
  <si>
    <t>Beau compte IG mais zéro site. Ciblé pour abonnement mensuel.</t>
  </si>
  <si>
    <t>BTP Diakite &amp; Fils</t>
  </si>
  <si>
    <t>Ibrahim Diakité</t>
  </si>
  <si>
    <t>DG</t>
  </si>
  <si>
    <t>+33 6 34 56 78 90</t>
  </si>
  <si>
    <t>i.diakite@btp-diakite.com</t>
  </si>
  <si>
    <t>02/04/2026</t>
  </si>
  <si>
    <t>Message LinkedIn envoyé</t>
  </si>
  <si>
    <t>Relance LinkedIn J+3</t>
  </si>
  <si>
    <t>10/04/2026</t>
  </si>
  <si>
    <t>Site corporate 2000€</t>
  </si>
  <si>
    <t>Grosse boite. Long cycle de vente probable. Décideur identifié.</t>
  </si>
  <si>
    <t>Agence IMM Traore-la</t>
  </si>
  <si>
    <t xml:space="preserve">Karim Traoré </t>
  </si>
  <si>
    <t xml:space="preserve">Directeur </t>
  </si>
  <si>
    <t>//</t>
  </si>
  <si>
    <t xml:space="preserve">Google maps </t>
  </si>
  <si>
    <t xml:space="preserve">Catalogue envoyer </t>
  </si>
  <si>
    <t xml:space="preserve">Relance </t>
  </si>
  <si>
    <t>Demande de prix</t>
  </si>
  <si>
    <t>Site</t>
  </si>
  <si>
    <t xml:space="preserve">Yaye </t>
  </si>
  <si>
    <t>Agence IMM Batiti Keno</t>
  </si>
  <si>
    <t xml:space="preserve">Marietou </t>
  </si>
  <si>
    <t xml:space="preserve">Assistante </t>
  </si>
  <si>
    <t xml:space="preserve">Tiktok </t>
  </si>
  <si>
    <t>18/092026</t>
  </si>
  <si>
    <t>Pas de suite</t>
  </si>
  <si>
    <t xml:space="preserve">Agence IMM Benkane </t>
  </si>
  <si>
    <t>Tiktok</t>
  </si>
  <si>
    <t>Amandine by sel&amp;Miel</t>
  </si>
  <si>
    <t>Google maps</t>
  </si>
  <si>
    <t>Appel</t>
  </si>
  <si>
    <t>Sur terrain</t>
  </si>
  <si>
    <t xml:space="preserve">Il demande de passer </t>
  </si>
  <si>
    <t>Restaurant Marinas</t>
  </si>
  <si>
    <t>Assana</t>
  </si>
  <si>
    <t>Assistant</t>
  </si>
  <si>
    <t>APPEL</t>
  </si>
  <si>
    <t>01/102026</t>
  </si>
  <si>
    <t xml:space="preserve">Pas de suite </t>
  </si>
  <si>
    <t>Garden Bko</t>
  </si>
  <si>
    <t xml:space="preserve">Sadio </t>
  </si>
  <si>
    <t xml:space="preserve">site </t>
  </si>
  <si>
    <t xml:space="preserve">Residence les colonnes </t>
  </si>
  <si>
    <t>Gerant</t>
  </si>
  <si>
    <t xml:space="preserve">ENVOI DU DEVIS </t>
  </si>
  <si>
    <t xml:space="preserve">Site et gestion de reseaux </t>
  </si>
  <si>
    <t>Abba IMM</t>
  </si>
  <si>
    <t xml:space="preserve">Niuma Belleza </t>
  </si>
  <si>
    <t>Niuma Belleza</t>
  </si>
  <si>
    <t>RDV</t>
  </si>
  <si>
    <t xml:space="preserve">Le 365 </t>
  </si>
  <si>
    <t xml:space="preserve">Soukhotai by siam </t>
  </si>
  <si>
    <t xml:space="preserve">Galaxy Fashion </t>
  </si>
  <si>
    <t>Agence DABO ASSURENCE</t>
  </si>
  <si>
    <t>DABO</t>
  </si>
  <si>
    <t>agencedabo01@gmail.com</t>
  </si>
  <si>
    <t>Assurance NSIA</t>
  </si>
  <si>
    <t>nsiamali@groupensia.com</t>
  </si>
  <si>
    <t>Mille et une merveille</t>
  </si>
  <si>
    <t>Ibrahim</t>
  </si>
  <si>
    <t>Relance</t>
  </si>
  <si>
    <t>Petro Bama</t>
  </si>
  <si>
    <t xml:space="preserve"> </t>
  </si>
  <si>
    <t>Cold Stone Creamery</t>
  </si>
  <si>
    <t>Zeinaibou Coulibaly</t>
  </si>
  <si>
    <t>Envoie de catalogue</t>
  </si>
  <si>
    <t xml:space="preserve">Tonino Market </t>
  </si>
  <si>
    <t xml:space="preserve">Plaza Supermarche </t>
  </si>
  <si>
    <t xml:space="preserve">La table de Bistrot </t>
  </si>
  <si>
    <t>Holding Services Mali</t>
  </si>
  <si>
    <t>Jungle</t>
  </si>
  <si>
    <t>OIsihii</t>
  </si>
  <si>
    <t>MAIDA Resto</t>
  </si>
  <si>
    <t>Speak Easy</t>
  </si>
  <si>
    <t>resavillasoudan@yahoo.fr</t>
  </si>
  <si>
    <t>Roots BKO</t>
  </si>
  <si>
    <t>rootsbamako@gmail.com</t>
  </si>
  <si>
    <t xml:space="preserve">IL MONDO </t>
  </si>
  <si>
    <t>lerelais@orangemali.net</t>
  </si>
  <si>
    <t xml:space="preserve">Eleven Café BKO </t>
  </si>
  <si>
    <t>envoie de message par whap</t>
  </si>
  <si>
    <t>Los Turcos</t>
  </si>
  <si>
    <t>losturcosbko@gmail.com</t>
  </si>
  <si>
    <t xml:space="preserve">CHILL OUT </t>
  </si>
  <si>
    <t xml:space="preserve">Abdoulaye sam </t>
  </si>
  <si>
    <t xml:space="preserve">Geant </t>
  </si>
  <si>
    <t>Le Germinal</t>
  </si>
  <si>
    <t>germinal1niamana@gmail.com</t>
  </si>
  <si>
    <t xml:space="preserve">Auto Service Reference </t>
  </si>
  <si>
    <t>infoline.asr@gmail.com</t>
  </si>
  <si>
    <t xml:space="preserve"> Biya sup </t>
  </si>
  <si>
    <t xml:space="preserve">Toguna market </t>
  </si>
  <si>
    <t>envoie de message par whatsapp</t>
  </si>
  <si>
    <t>Istanbul Café</t>
  </si>
  <si>
    <t>L'extreme café</t>
  </si>
  <si>
    <t>Twane bko</t>
  </si>
  <si>
    <t>info@twane.fr</t>
  </si>
  <si>
    <t>Nandy's Cake</t>
  </si>
  <si>
    <t>O'café</t>
  </si>
  <si>
    <t>Ecobooster Energy</t>
  </si>
  <si>
    <t>ecoboosterlink2@gmail.com</t>
  </si>
  <si>
    <t>Groupe taqwa imm Abidjan</t>
  </si>
  <si>
    <t>grouptaqwaserviceimmobilier@gmail.com</t>
  </si>
  <si>
    <t xml:space="preserve">Miam yum </t>
  </si>
  <si>
    <t xml:space="preserve">Oumou Makassouba </t>
  </si>
  <si>
    <t xml:space="preserve">Envoie de catalogue </t>
  </si>
  <si>
    <t>Site gestion de contenus</t>
  </si>
  <si>
    <t xml:space="preserve">Extra saveur </t>
  </si>
  <si>
    <t>extrasaveur@gmail.com</t>
  </si>
  <si>
    <t>Indigo</t>
  </si>
  <si>
    <t>bally.rachida@gmail.com</t>
  </si>
  <si>
    <t xml:space="preserve">Timlay's </t>
  </si>
  <si>
    <t xml:space="preserve">Booba </t>
  </si>
  <si>
    <t xml:space="preserve">Gerant </t>
  </si>
  <si>
    <t xml:space="preserve">Prospection physique </t>
  </si>
  <si>
    <t>Dar nass</t>
  </si>
  <si>
    <t>Mali yiri</t>
  </si>
  <si>
    <t xml:space="preserve">yirimali@gmail.com </t>
  </si>
  <si>
    <t xml:space="preserve">Travail deja avec une equipe </t>
  </si>
  <si>
    <t>Terra vita</t>
  </si>
  <si>
    <t xml:space="preserve">Abdoulaye </t>
  </si>
  <si>
    <t>terravitamali01@gmail.com</t>
  </si>
  <si>
    <t>Gestion de communication</t>
  </si>
  <si>
    <t xml:space="preserve">Koko fashion </t>
  </si>
  <si>
    <t>Baara Muso</t>
  </si>
  <si>
    <t xml:space="preserve">Kalifadrame </t>
  </si>
  <si>
    <t>kalifadrame63@gmail.com</t>
  </si>
  <si>
    <t>Deja été contacté</t>
  </si>
  <si>
    <t xml:space="preserve">Sanuya </t>
  </si>
  <si>
    <t xml:space="preserve">Iba desingn </t>
  </si>
  <si>
    <t>awadoumbia@51yahoo.fr</t>
  </si>
  <si>
    <t xml:space="preserve">SK couture </t>
  </si>
  <si>
    <t>skcouture20@gmail.com</t>
  </si>
  <si>
    <t>Air niono</t>
  </si>
  <si>
    <t xml:space="preserve">Agence Imm Nioro Du Sahel </t>
  </si>
  <si>
    <t>agenceimmobiliereniorodusahel@gmail.com</t>
  </si>
  <si>
    <t>EK imm</t>
  </si>
  <si>
    <t>Fatoumata Kanté</t>
  </si>
  <si>
    <t>contact@ekimm-mali.com</t>
  </si>
  <si>
    <t>Agif imm</t>
  </si>
  <si>
    <t>agif.mali@yahoo.fr</t>
  </si>
  <si>
    <t>SOUMATORS</t>
  </si>
  <si>
    <t>moussa.diarouma@pisoummotors.com</t>
  </si>
  <si>
    <t xml:space="preserve">Faire le devis </t>
  </si>
  <si>
    <t>Niqab house</t>
  </si>
  <si>
    <t xml:space="preserve">prospection physique </t>
  </si>
  <si>
    <t>BKO parfumerie</t>
  </si>
  <si>
    <t xml:space="preserve">Sofia resto </t>
  </si>
  <si>
    <t xml:space="preserve">Awkaso </t>
  </si>
  <si>
    <t xml:space="preserve">Tireravoyage.tvc </t>
  </si>
  <si>
    <t xml:space="preserve">Maison des mariés </t>
  </si>
  <si>
    <t xml:space="preserve">Golden Spoon </t>
  </si>
  <si>
    <t>Smart technology</t>
  </si>
  <si>
    <t xml:space="preserve">Fashioniste </t>
  </si>
  <si>
    <t xml:space="preserve">African textile </t>
  </si>
  <si>
    <t>Soumaby parfumerie de luxe</t>
  </si>
  <si>
    <t xml:space="preserve">La boutique du chef </t>
  </si>
  <si>
    <t>Wellbytallys</t>
  </si>
  <si>
    <t xml:space="preserve">Keit' boutique </t>
  </si>
  <si>
    <t>Prestige</t>
  </si>
  <si>
    <t xml:space="preserve">Oona couture </t>
  </si>
  <si>
    <t xml:space="preserve">HK style </t>
  </si>
  <si>
    <t xml:space="preserve">Auto Adatou Cisse </t>
  </si>
  <si>
    <t xml:space="preserve">Villa wida </t>
  </si>
  <si>
    <t xml:space="preserve">Garbadrome </t>
  </si>
  <si>
    <t>Nomands resto</t>
  </si>
  <si>
    <t xml:space="preserve">Daily's food </t>
  </si>
  <si>
    <t xml:space="preserve">La maison du fleuve </t>
  </si>
  <si>
    <t xml:space="preserve">Mandé spa </t>
  </si>
  <si>
    <t xml:space="preserve">Casa du fleuve </t>
  </si>
  <si>
    <t>Sigmaburgersbko</t>
  </si>
  <si>
    <t>sigmaburgers.@gmail.com</t>
  </si>
  <si>
    <t>Karamfc</t>
  </si>
  <si>
    <t>karamfriedchicken@gmail.com</t>
  </si>
  <si>
    <t>Tiltok</t>
  </si>
  <si>
    <t>UASS</t>
  </si>
  <si>
    <t>info@uass.ml</t>
  </si>
  <si>
    <t>Clinique medical Angevins</t>
  </si>
  <si>
    <t xml:space="preserve">Ice club bko </t>
  </si>
  <si>
    <t>Grill Meat Lover's</t>
  </si>
  <si>
    <t xml:space="preserve">Resto Pat Boul </t>
  </si>
  <si>
    <t>Guaduman resto</t>
  </si>
  <si>
    <t xml:space="preserve">Tropikal resto </t>
  </si>
  <si>
    <t>tropikalbko@gmail.com</t>
  </si>
  <si>
    <t>UBIM</t>
  </si>
  <si>
    <t>universityubim@gmail.com</t>
  </si>
  <si>
    <t>Blueberry travel bko</t>
  </si>
  <si>
    <t>marketing.bko@blueberry-travel.com</t>
  </si>
  <si>
    <t>Super Auto</t>
  </si>
  <si>
    <t xml:space="preserve">Agora Café bko </t>
  </si>
  <si>
    <t xml:space="preserve">AS imm </t>
  </si>
  <si>
    <t>Benta Immo</t>
  </si>
  <si>
    <t>Residence Ballamadi</t>
  </si>
  <si>
    <t>Allassane</t>
  </si>
  <si>
    <t>Agence imm Santoro-Sarl</t>
  </si>
  <si>
    <t>Helen's</t>
  </si>
  <si>
    <t>Tamira luxuryline</t>
  </si>
  <si>
    <t>Victoria bko</t>
  </si>
  <si>
    <t>Fa Tendance</t>
  </si>
  <si>
    <t xml:space="preserve">Resto Mama Africa </t>
  </si>
  <si>
    <t xml:space="preserve">La parisienne </t>
  </si>
  <si>
    <t>Hotel la Chaumiere</t>
  </si>
  <si>
    <t>EUTG</t>
  </si>
  <si>
    <t>renseigment@eutg-mali.com</t>
  </si>
  <si>
    <t>ITMA</t>
  </si>
  <si>
    <t>contact@itma-mali.com</t>
  </si>
  <si>
    <t>ESG</t>
  </si>
  <si>
    <t>esgbamako@gmail.com</t>
  </si>
  <si>
    <t>ISC</t>
  </si>
  <si>
    <t>contact@iscmali.ml</t>
  </si>
  <si>
    <t>YAH Transit</t>
  </si>
  <si>
    <t xml:space="preserve">NBKIT transit </t>
  </si>
  <si>
    <t xml:space="preserve">Auto Rayan </t>
  </si>
  <si>
    <t xml:space="preserve">Loginet auto technoly </t>
  </si>
  <si>
    <t xml:space="preserve">Santoroautomobile </t>
  </si>
  <si>
    <t>Polyclinique le Renouveau</t>
  </si>
  <si>
    <t>UFHOB-MALI</t>
  </si>
  <si>
    <t>La vallee</t>
  </si>
  <si>
    <t xml:space="preserve">le savane </t>
  </si>
  <si>
    <t xml:space="preserve">Hotel Columbus </t>
  </si>
  <si>
    <t xml:space="preserve">Hotel Tamana </t>
  </si>
  <si>
    <t xml:space="preserve">Residence Sabah </t>
  </si>
  <si>
    <t xml:space="preserve">Malivision </t>
  </si>
  <si>
    <t xml:space="preserve">La Malienne de l'auto mobile </t>
  </si>
  <si>
    <t>📊 TABLEAU DE BORD — MSK CRÉATION</t>
  </si>
  <si>
    <t>📈  INDICATEURS CLÉS DE PERFORMANCE (KPI)</t>
  </si>
  <si>
    <t>Total Prospects</t>
  </si>
  <si>
    <t>À Contacter</t>
  </si>
  <si>
    <t>En Discussion</t>
  </si>
  <si>
    <t>Intéressés</t>
  </si>
  <si>
    <t>Devis Envoyés</t>
  </si>
  <si>
    <t>Clients Signés</t>
  </si>
  <si>
    <t>Perdus</t>
  </si>
  <si>
    <t>CA Signé (€)</t>
  </si>
  <si>
    <t>CA Pipeline (€)</t>
  </si>
  <si>
    <t>📊  TAUX DE CONVERSION</t>
  </si>
  <si>
    <t>Indicateur</t>
  </si>
  <si>
    <t>Valeur</t>
  </si>
  <si>
    <t>Taux de réponse</t>
  </si>
  <si>
    <t>% prospects ayant répondu</t>
  </si>
  <si>
    <t>Taux de conversion</t>
  </si>
  <si>
    <t>% prospects devenus clients</t>
  </si>
  <si>
    <t>Valeur moy. client</t>
  </si>
  <si>
    <t>Panier moyen par client signé</t>
  </si>
  <si>
    <t>🎯  OBJECTIFS HEBDOMADAIRES</t>
  </si>
  <si>
    <t>Cible</t>
  </si>
  <si>
    <t>Réel</t>
  </si>
  <si>
    <t>Saisir ici</t>
  </si>
  <si>
    <t>Nouveaux prospects/semaine</t>
  </si>
  <si>
    <t>Objectif : 25</t>
  </si>
  <si>
    <t>Messages envoyés/semaine</t>
  </si>
  <si>
    <t>Calls téléphoniques/semaine</t>
  </si>
  <si>
    <t>Clients signés/mois</t>
  </si>
  <si>
    <t>Objectif : 2</t>
  </si>
  <si>
    <t>📝 SCRIPTS DE PROSPECTION — MSK CRÉATION</t>
  </si>
  <si>
    <t>📌  INSTAGRAM DM</t>
  </si>
  <si>
    <t>Bonjour [PRÉNOM] 👋
J'ai vu votre activité dans [SECTEUR/DOMAINE] — vraiment inspirant ce que vous construisez.
Je m'appelle [VOTRE NOM], je dirige MSK Création, une agence digitale basée à [VILLE].
On aide des entreprises comme la vôtre à [RÉSULTAT CONCRET — ex: attirer plus de clients en ligne / avoir un site professionnel].
Est-ce que c'est quelque chose qui vous intéresse en ce moment ?</t>
  </si>
  <si>
    <t>💡  Conseil : Adapter : [PRÉNOM] · [SECTEUR] · [RÉSULTAT CONCRET]. Envoyer le matin entre 8h et 10h.</t>
  </si>
  <si>
    <t>📌  LINKEDIN MESSAGE</t>
  </si>
  <si>
    <t>Bonjour [PRÉNOM],
J'ai vu votre profil et votre parcours dans [SECTEUR] m'a beaucoup intéressé.
Je dirige MSK Création — agence digitale Mali/Togo/France spécialisée en création de sites web, vidéos et stratégie digitale.
Nous aidons des entreprises comme la vôtre à renforcer leur présence en ligne et à attirer plus de clients.
Seriez-vous disponible pour un échange rapide de 15 minutes cette semaine ?
Bien cordialement,
[VOTRE NOM] — MSK Création</t>
  </si>
  <si>
    <t>💡  Conseil : Toujours personnaliser avec le secteur et 1 détail vu sur le profil. Ne pas pitcher immédiatement.</t>
  </si>
  <si>
    <t>📌  WHATSAPP BUSINESS</t>
  </si>
  <si>
    <t>Bonjour [PRÉNOM], c'est [VOTRE NOM] de MSK Création 👋
On crée des sites web professionnels et des contenus vidéo pour les entreprises.
J'ai vu votre activité sur [SOURCE — Instagram/terrain/etc.] et je pense qu'on pourrait vous aider à attirer plus de clients en ligne.
Est-ce que vous avez 5 minutes pour en parler ?</t>
  </si>
  <si>
    <t>💡  Conseil : Court et direct. Maximum 5 lignes. Envoyer entre 9h et 11h ou 14h et 16h.</t>
  </si>
  <si>
    <t>📌  RELANCE 1 (J+3 — pas de réponse)</t>
  </si>
  <si>
    <t>Bonjour [PRÉNOM],
Je voulais juste m'assurer que vous avez bien reçu mon message de [JOUR].
Je reste disponible si vous souhaitez qu'on en discute 🙂
Bonne journée !</t>
  </si>
  <si>
    <t>💡  Conseil : Court, neutre, sans pression. Juste un rappel poli.</t>
  </si>
  <si>
    <t>📌  RELANCE 2 (J+7 — changer de canal)</t>
  </si>
  <si>
    <t>Bonjour [PRÉNOM],
Je me permets de vous recontacter concernant [SUJET/SERVICE].
On vient justement de terminer [EXEMPLE DE RÉALISATION RÉCENTE] pour un client dans [SECTEUR SIMILAIRE] — le résultat était vraiment bien.
Je serais ravi de vous montrer ce qu'on pourrait faire pour vous.
Dispo pour un appel de 10 min ?</t>
  </si>
  <si>
    <t>💡  Conseil : Apporter de la valeur : montrer un exemple concret. Changer de canal si possible (ex: IG → WA).</t>
  </si>
  <si>
    <t>📌  RELANCE 3 — DERNIÈRE (J+14)</t>
  </si>
  <si>
    <t>Bonjour [PRÉNOM],
Je me permets de vous contacter une dernière fois au sujet de [SERVICE].
Si ce n'est pas le bon moment pour vous, je le comprends tout à fait.
Dans ce cas, n'hésitez pas à me recontacter quand le moment sera venu 🙂
Bonne continuation !</t>
  </si>
  <si>
    <t>💡  Conseil : Dernier contact sans forcer. Laisser la porte ouverte. Mettre en statut PERDU après cet envoi.</t>
  </si>
  <si>
    <t>📌  ENVOI DE DEVIS</t>
  </si>
  <si>
    <t>Bonjour [PRÉNOM],
Suite à notre échange du [DATE], je vous transmets le devis pour [SERVICE].
📎 [LIEN ou PIÈCE JOINTE]
Ce devis comprend :
• [ÉLÉMENT 1]
• [ÉLÉMENT 2]
• [ÉLÉMENT 3]
Budget total : [MONTANT] € TTC
Validité : 30 jours
Je reste disponible pour répondre à toutes vos questions.
Dans l'attente de votre retour,
[VOTRE NOM]
MSK Création</t>
  </si>
  <si>
    <t>💡  Conseil : Envoyer dans les 2 heures après l'accord de principe. Toujours rappeler les éléments inclus.</t>
  </si>
  <si>
    <t>STATUTS</t>
  </si>
  <si>
    <t>SOURCES</t>
  </si>
  <si>
    <t>STADE</t>
  </si>
  <si>
    <t>WhatsApp</t>
  </si>
  <si>
    <t>Email</t>
  </si>
  <si>
    <t>Téléphone</t>
  </si>
  <si>
    <t>Autre</t>
  </si>
  <si>
    <t>MSK CRÉATION — RAPPORT HEBDOMADAIRE MADINA (à envoyer chaque vendredi avant 17h)</t>
  </si>
  <si>
    <t>Sem. 1</t>
  </si>
  <si>
    <t>Sem. 2</t>
  </si>
  <si>
    <t>Sem. 3</t>
  </si>
  <si>
    <t>Sem. 4</t>
  </si>
  <si>
    <t>Objectif/sem.</t>
  </si>
  <si>
    <t>Nouveaux prospects identifiés</t>
  </si>
  <si>
    <t>15 minimum</t>
  </si>
  <si>
    <t>Premiers contacts effectués</t>
  </si>
  <si>
    <t>10 minimum</t>
  </si>
  <si>
    <t>Réponses obtenues</t>
  </si>
  <si>
    <t>3 à 5</t>
  </si>
  <si>
    <t>Prospects en discussion</t>
  </si>
  <si>
    <t>2+</t>
  </si>
  <si>
    <t xml:space="preserve">Leads qualifiés </t>
  </si>
  <si>
    <t>1 à 2</t>
  </si>
  <si>
    <t>RDV planifiés par Andile ou mathieu</t>
  </si>
  <si>
    <t>1+</t>
  </si>
  <si>
    <t>Prospects relancés</t>
  </si>
  <si>
    <t>Tous J+5</t>
  </si>
  <si>
    <t>Prospects classés Non qualifiés</t>
  </si>
  <si>
    <t>Normal</t>
  </si>
  <si>
    <t>BLOCAGES ET DIFFICULTÉS DE LA SEMAINE</t>
  </si>
  <si>
    <t>Principale difficulté rencontrée cette semaine :</t>
  </si>
  <si>
    <t>Ce dont j'ai besoin pour mieux prospecter :</t>
  </si>
  <si>
    <t>Feedback sur les scripts (ce qui marche / ce qui ne marche pas) :</t>
  </si>
  <si>
    <t>RDV planifiés par Andile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</si>
</sst>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€&quot;"/>
    <numFmt numFmtId="165" formatCode="0.0%"/>
  </numFmts>
  <fonts count="49">
    <font>
      <sz val="11"/>
      <color theme="1"/>
      <name val="Calibri"/>
      <family val="2"/>
      <charset val="1"/>
    </font>
    <font>
      <b/>
      <sz val="18"/>
      <color rgb="FFE8A020"/>
      <name val="Arial"/>
      <charset val="1"/>
    </font>
    <font>
      <i/>
      <sz val="11"/>
      <color rgb="FF9BB8E8"/>
      <name val="Arial"/>
      <charset val="1"/>
    </font>
    <font>
      <b/>
      <sz val="12"/>
      <color rgb="FFFFFFFF"/>
      <name val="Arial"/>
      <charset val="1"/>
    </font>
    <font>
      <b/>
      <sz val="10"/>
      <color rgb="FF0B1F3A"/>
      <name val="Arial"/>
      <charset val="1"/>
    </font>
    <font>
      <b/>
      <sz val="10"/>
      <color rgb="FF1A4B8C"/>
      <name val="Arial"/>
      <charset val="1"/>
    </font>
    <font>
      <sz val="10"/>
      <color rgb="FF1A1A2E"/>
      <name val="Arial"/>
      <charset val="1"/>
    </font>
    <font>
      <i/>
      <sz val="10"/>
      <color rgb="FF0D6B6B"/>
      <name val="Arial"/>
      <charset val="1"/>
    </font>
    <font>
      <b/>
      <sz val="10"/>
      <color rgb="FF0E7C4A"/>
      <name val="Arial"/>
      <charset val="1"/>
    </font>
    <font>
      <b/>
      <sz val="10"/>
      <color rgb="FF8A9AB0"/>
      <name val="Arial"/>
      <charset val="1"/>
    </font>
    <font>
      <b/>
      <sz val="10"/>
      <color rgb="FF0D6B6B"/>
      <name val="Arial"/>
      <charset val="1"/>
    </font>
    <font>
      <b/>
      <sz val="10"/>
      <color rgb="FFD4600A"/>
      <name val="Arial"/>
      <charset val="1"/>
    </font>
    <font>
      <b/>
      <sz val="10"/>
      <color rgb="FF6B2D8B"/>
      <name val="Arial"/>
      <charset val="1"/>
    </font>
    <font>
      <b/>
      <sz val="10"/>
      <color rgb="FFC0392B"/>
      <name val="Arial"/>
      <charset val="1"/>
    </font>
    <font>
      <b/>
      <sz val="14"/>
      <color rgb="FFE8A020"/>
      <name val="Arial"/>
      <charset val="1"/>
    </font>
    <font>
      <b/>
      <sz val="9"/>
      <color rgb="FFFFFFFF"/>
      <name val="Arial"/>
      <charset val="1"/>
    </font>
    <font>
      <b/>
      <sz val="9"/>
      <color rgb="FF8A9AB0"/>
      <name val="Arial"/>
      <charset val="1"/>
    </font>
    <font>
      <sz val="9"/>
      <color rgb="FF8A9AB0"/>
      <name val="Arial"/>
      <charset val="1"/>
    </font>
    <font>
      <b/>
      <sz val="9"/>
      <color rgb="FF1A4B8C"/>
      <name val="Arial"/>
      <charset val="1"/>
    </font>
    <font>
      <b/>
      <sz val="9"/>
      <color rgb="FFC0392B"/>
      <name val="Arial"/>
      <charset val="1"/>
    </font>
    <font>
      <i/>
      <sz val="9"/>
      <color rgb="FF8A9AB0"/>
      <name val="Arial"/>
      <charset val="1"/>
    </font>
    <font>
      <b/>
      <sz val="9"/>
      <color rgb="FFD4600A"/>
      <name val="Arial"/>
      <charset val="1"/>
    </font>
    <font>
      <b/>
      <sz val="9"/>
      <color rgb="FF0E7C4A"/>
      <name val="Arial"/>
      <charset val="1"/>
    </font>
    <font>
      <b/>
      <sz val="9"/>
      <color rgb="FF0D6B6B"/>
      <name val="Arial"/>
      <charset val="1"/>
    </font>
    <font>
      <b/>
      <sz val="16"/>
      <color rgb="FFE8A020"/>
      <name val="Arial"/>
      <charset val="1"/>
    </font>
    <font>
      <b/>
      <sz val="24"/>
      <color rgb="FF1A4B8C"/>
      <name val="Arial"/>
      <charset val="1"/>
    </font>
    <font>
      <b/>
      <sz val="24"/>
      <color rgb="FF8A9AB0"/>
      <name val="Arial"/>
      <charset val="1"/>
    </font>
    <font>
      <b/>
      <sz val="24"/>
      <color rgb="FF0D6B6B"/>
      <name val="Arial"/>
      <charset val="1"/>
    </font>
    <font>
      <b/>
      <sz val="24"/>
      <color rgb="FFD4600A"/>
      <name val="Arial"/>
      <charset val="1"/>
    </font>
    <font>
      <b/>
      <sz val="24"/>
      <color rgb="FF6B2D8B"/>
      <name val="Arial"/>
      <charset val="1"/>
    </font>
    <font>
      <b/>
      <sz val="24"/>
      <color rgb="FF0E7C4A"/>
      <name val="Arial"/>
      <charset val="1"/>
    </font>
    <font>
      <b/>
      <sz val="22"/>
      <color rgb="FFC0392B"/>
      <name val="Arial"/>
      <charset val="1"/>
    </font>
    <font>
      <b/>
      <sz val="22"/>
      <color rgb="FFE8A020"/>
      <name val="Arial"/>
      <charset val="1"/>
    </font>
    <font>
      <b/>
      <sz val="22"/>
      <color rgb="FF0D6B6B"/>
      <name val="Arial"/>
      <charset val="1"/>
    </font>
    <font>
      <b/>
      <sz val="12"/>
      <color rgb="FF0D6B6B"/>
      <name val="Arial"/>
      <charset val="1"/>
    </font>
    <font>
      <i/>
      <sz val="10"/>
      <color rgb="FF8A9AB0"/>
      <name val="Arial"/>
      <charset val="1"/>
    </font>
    <font>
      <sz val="10"/>
      <color rgb="FF8A9AB0"/>
      <name val="Arial"/>
      <charset val="1"/>
    </font>
    <font>
      <b/>
      <sz val="11"/>
      <color rgb="FF0000FF"/>
      <name val="Arial"/>
      <charset val="1"/>
    </font>
    <font>
      <i/>
      <sz val="9"/>
      <color rgb="FF0D6B6B"/>
      <name val="Arial"/>
      <charset val="1"/>
    </font>
    <font>
      <b/>
      <sz val="11"/>
      <color rgb="FFFFFFFF"/>
      <name val="Arial"/>
      <charset val="1"/>
    </font>
    <font>
      <u/>
      <sz val="11"/>
      <color theme="10"/>
      <name val="Calibri"/>
      <family val="2"/>
      <charset val="1"/>
    </font>
    <font>
      <sz val="10"/>
      <color rgb="FF333333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333333"/>
      <name val="Arial"/>
    </font>
    <font>
      <b/>
      <sz val="10"/>
      <color rgb="FF1A7A4A"/>
      <name val="Arial"/>
    </font>
    <font>
      <b/>
      <sz val="11"/>
      <color rgb="FFFFFFFF"/>
      <name val="Arial"/>
    </font>
    <font>
      <b/>
      <sz val="10"/>
      <color rgb="FF854F0B"/>
      <name val="Arial"/>
    </font>
    <font>
      <sz val="16"/>
      <color rgb="FF000000"/>
      <name val="Calibri"/>
    </font>
  </fonts>
  <fills count="32">
    <fill>
      <patternFill patternType="none"/>
    </fill>
    <fill>
      <patternFill patternType="gray125"/>
    </fill>
    <fill>
      <patternFill patternType="solid">
        <fgColor rgb="FF0B1F3A"/>
        <bgColor rgb="FF1A1A2E"/>
      </patternFill>
    </fill>
    <fill>
      <patternFill patternType="solid">
        <fgColor rgb="FF1A4B8C"/>
        <bgColor rgb="FF0D6B6B"/>
      </patternFill>
    </fill>
    <fill>
      <patternFill patternType="solid">
        <fgColor rgb="FFF2F4F8"/>
        <bgColor rgb="FFE8F4FD"/>
      </patternFill>
    </fill>
    <fill>
      <patternFill patternType="solid">
        <fgColor rgb="FFFFFFFF"/>
        <bgColor rgb="FFFFFDF5"/>
      </patternFill>
    </fill>
    <fill>
      <patternFill patternType="solid">
        <fgColor rgb="FF0E7C4A"/>
        <bgColor rgb="FF0D6B6B"/>
      </patternFill>
    </fill>
    <fill>
      <patternFill patternType="solid">
        <fgColor rgb="FFD4600A"/>
        <bgColor rgb="FFC0392B"/>
      </patternFill>
    </fill>
    <fill>
      <patternFill patternType="solid">
        <fgColor rgb="FF0D6B6B"/>
        <bgColor rgb="FF0E7C4A"/>
      </patternFill>
    </fill>
    <fill>
      <patternFill patternType="solid">
        <fgColor rgb="FFC0392B"/>
        <bgColor rgb="FFC13584"/>
      </patternFill>
    </fill>
    <fill>
      <patternFill patternType="solid">
        <fgColor rgb="FF6B2D8B"/>
        <bgColor rgb="FF800080"/>
      </patternFill>
    </fill>
    <fill>
      <patternFill patternType="solid">
        <fgColor rgb="FF8A9AB0"/>
        <bgColor rgb="FF808080"/>
      </patternFill>
    </fill>
    <fill>
      <patternFill patternType="solid">
        <fgColor rgb="FFE6EEF8"/>
        <bgColor rgb="FFE8EEF8"/>
      </patternFill>
    </fill>
    <fill>
      <patternFill patternType="solid">
        <fgColor rgb="FFF8FAFC"/>
        <bgColor rgb="FFFFFDF5"/>
      </patternFill>
    </fill>
    <fill>
      <patternFill patternType="solid">
        <fgColor rgb="FFFFF0E0"/>
        <bgColor rgb="FFFDECEA"/>
      </patternFill>
    </fill>
    <fill>
      <patternFill patternType="solid">
        <fgColor rgb="FFE6F5EE"/>
        <bgColor rgb="FFE6F5F5"/>
      </patternFill>
    </fill>
    <fill>
      <patternFill patternType="solid">
        <fgColor rgb="FFE6F5F5"/>
        <bgColor rgb="FFE6F5EE"/>
      </patternFill>
    </fill>
    <fill>
      <patternFill patternType="solid">
        <fgColor rgb="FFE8EEF8"/>
        <bgColor rgb="FFE6EEF8"/>
      </patternFill>
    </fill>
    <fill>
      <patternFill patternType="solid">
        <fgColor rgb="FFFFFACD"/>
        <bgColor rgb="FFFFF0E0"/>
      </patternFill>
    </fill>
    <fill>
      <patternFill patternType="solid">
        <fgColor rgb="FFC13584"/>
        <bgColor rgb="FFC0392B"/>
      </patternFill>
    </fill>
    <fill>
      <patternFill patternType="solid">
        <fgColor rgb="FFFFFDF5"/>
        <bgColor rgb="FFFFFFFF"/>
      </patternFill>
    </fill>
    <fill>
      <patternFill patternType="solid">
        <fgColor rgb="FFE8F4FD"/>
        <bgColor rgb="FFE6F5F5"/>
      </patternFill>
    </fill>
    <fill>
      <patternFill patternType="solid">
        <fgColor rgb="FF0A66C2"/>
        <bgColor rgb="FF1A4B8C"/>
      </patternFill>
    </fill>
    <fill>
      <patternFill patternType="solid">
        <fgColor rgb="FF25D366"/>
        <bgColor rgb="FF339966"/>
      </patternFill>
    </fill>
    <fill>
      <patternFill patternType="solid">
        <fgColor rgb="FF534AB7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5F5F5"/>
      </patternFill>
    </fill>
    <fill>
      <patternFill patternType="solid">
        <fgColor rgb="FFC0392B"/>
      </patternFill>
    </fill>
    <fill>
      <patternFill patternType="solid">
        <fgColor rgb="FFFFF8E1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rgb="FFC8D8F0"/>
      </left>
      <right style="thin">
        <color rgb="FFC8D8F0"/>
      </right>
      <top style="thin">
        <color rgb="FFC8D8F0"/>
      </top>
      <bottom style="thin">
        <color rgb="FFC8D8F0"/>
      </bottom>
      <diagonal/>
    </border>
    <border>
      <left style="thin">
        <color rgb="FFD0D8E8"/>
      </left>
      <right style="thin">
        <color rgb="FFD0D8E8"/>
      </right>
      <top style="medium">
        <color rgb="FF1A4B8C"/>
      </top>
      <bottom style="thin">
        <color rgb="FFD0D8E8"/>
      </bottom>
      <diagonal/>
    </border>
    <border>
      <left style="thin">
        <color rgb="FFD0D8E8"/>
      </left>
      <right style="thin">
        <color rgb="FFD0D8E8"/>
      </right>
      <top style="medium">
        <color rgb="FF8A9AB0"/>
      </top>
      <bottom style="thin">
        <color rgb="FFD0D8E8"/>
      </bottom>
      <diagonal/>
    </border>
    <border>
      <left style="thin">
        <color rgb="FFD0D8E8"/>
      </left>
      <right style="thin">
        <color rgb="FFD0D8E8"/>
      </right>
      <top style="medium">
        <color rgb="FF0D6B6B"/>
      </top>
      <bottom style="thin">
        <color rgb="FFD0D8E8"/>
      </bottom>
      <diagonal/>
    </border>
    <border>
      <left style="thin">
        <color rgb="FFD0D8E8"/>
      </left>
      <right style="thin">
        <color rgb="FFD0D8E8"/>
      </right>
      <top style="medium">
        <color rgb="FFD4600A"/>
      </top>
      <bottom style="thin">
        <color rgb="FFD0D8E8"/>
      </bottom>
      <diagonal/>
    </border>
    <border>
      <left style="thin">
        <color rgb="FFD0D8E8"/>
      </left>
      <right style="thin">
        <color rgb="FFD0D8E8"/>
      </right>
      <top style="medium">
        <color rgb="FF6B2D8B"/>
      </top>
      <bottom style="thin">
        <color rgb="FFD0D8E8"/>
      </bottom>
      <diagonal/>
    </border>
    <border>
      <left style="thin">
        <color rgb="FFD0D8E8"/>
      </left>
      <right style="thin">
        <color rgb="FFD0D8E8"/>
      </right>
      <top style="medium">
        <color rgb="FF0E7C4A"/>
      </top>
      <bottom style="thin">
        <color rgb="FFD0D8E8"/>
      </bottom>
      <diagonal/>
    </border>
    <border>
      <left style="thin">
        <color rgb="FFD0D8E8"/>
      </left>
      <right style="thin">
        <color rgb="FFD0D8E8"/>
      </right>
      <top style="medium">
        <color rgb="FFC0392B"/>
      </top>
      <bottom style="thin">
        <color rgb="FFD0D8E8"/>
      </bottom>
      <diagonal/>
    </border>
    <border>
      <left style="thin">
        <color rgb="FFD0D8E8"/>
      </left>
      <right style="thin">
        <color rgb="FFD0D8E8"/>
      </right>
      <top style="medium">
        <color rgb="FFE8A020"/>
      </top>
      <bottom style="thin">
        <color rgb="FFD0D8E8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 style="thin">
        <color theme="2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theme="1"/>
      </left>
      <right/>
      <top/>
      <bottom style="medium">
        <color theme="1"/>
      </bottom>
      <diagonal/>
    </border>
  </borders>
  <cellStyleXfs count="2">
    <xf numFmtId="0" fontId="0" fillId="0" borderId="0"/>
    <xf numFmtId="0" fontId="40" fillId="0" borderId="0" applyNumberFormat="0" applyFill="0" applyBorder="0" applyAlignment="0" applyProtection="0"/>
  </cellStyleXfs>
  <cellXfs count="186">
    <xf numFmtId="0" fontId="0" fillId="0" borderId="0" xfId="0"/>
    <xf numFmtId="0" fontId="14" fillId="2" borderId="0" xfId="0" applyFont="1" applyFill="1" applyAlignment="1">
      <alignment horizontal="left" vertical="center"/>
    </xf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horizontal="left" vertical="center"/>
    </xf>
    <xf numFmtId="0" fontId="0" fillId="4" borderId="0" xfId="0" applyFill="1"/>
    <xf numFmtId="0" fontId="4" fillId="4" borderId="0" xfId="0" applyFont="1" applyFill="1" applyAlignment="1">
      <alignment horizontal="left" vertical="center"/>
    </xf>
    <xf numFmtId="0" fontId="0" fillId="5" borderId="1" xfId="0" applyFill="1" applyBorder="1"/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0" fillId="6" borderId="0" xfId="0" applyFill="1"/>
    <xf numFmtId="0" fontId="3" fillId="6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0" fillId="7" borderId="0" xfId="0" applyFill="1"/>
    <xf numFmtId="0" fontId="3" fillId="7" borderId="0" xfId="0" applyFont="1" applyFill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24" fillId="2" borderId="0" xfId="0" applyFont="1" applyFill="1" applyAlignment="1">
      <alignment horizontal="left" vertical="center"/>
    </xf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8" borderId="0" xfId="0" applyFill="1"/>
    <xf numFmtId="0" fontId="3" fillId="8" borderId="0" xfId="0" applyFont="1" applyFill="1" applyAlignment="1">
      <alignment horizontal="left" vertical="center"/>
    </xf>
    <xf numFmtId="0" fontId="36" fillId="5" borderId="1" xfId="0" applyFont="1" applyFill="1" applyBorder="1" applyAlignment="1">
      <alignment horizontal="center" vertical="center" wrapText="1"/>
    </xf>
    <xf numFmtId="0" fontId="37" fillId="18" borderId="10" xfId="0" applyFont="1" applyFill="1" applyBorder="1" applyAlignment="1">
      <alignment horizontal="center" vertical="center" wrapText="1"/>
    </xf>
    <xf numFmtId="0" fontId="36" fillId="4" borderId="1" xfId="0" applyFont="1" applyFill="1" applyBorder="1" applyAlignment="1">
      <alignment horizontal="center" vertical="center" wrapText="1"/>
    </xf>
    <xf numFmtId="0" fontId="0" fillId="19" borderId="0" xfId="0" applyFill="1"/>
    <xf numFmtId="0" fontId="3" fillId="19" borderId="0" xfId="0" applyFont="1" applyFill="1" applyAlignment="1">
      <alignment horizontal="left" vertical="center"/>
    </xf>
    <xf numFmtId="0" fontId="0" fillId="20" borderId="1" xfId="0" applyFill="1" applyBorder="1"/>
    <xf numFmtId="0" fontId="6" fillId="20" borderId="1" xfId="0" applyFont="1" applyFill="1" applyBorder="1" applyAlignment="1">
      <alignment horizontal="left" vertical="top" wrapText="1"/>
    </xf>
    <xf numFmtId="0" fontId="0" fillId="21" borderId="1" xfId="0" applyFill="1" applyBorder="1"/>
    <xf numFmtId="0" fontId="38" fillId="21" borderId="1" xfId="0" applyFont="1" applyFill="1" applyBorder="1" applyAlignment="1">
      <alignment horizontal="left" vertical="center" wrapText="1"/>
    </xf>
    <xf numFmtId="0" fontId="0" fillId="22" borderId="1" xfId="0" applyFill="1" applyBorder="1"/>
    <xf numFmtId="0" fontId="3" fillId="22" borderId="1" xfId="0" applyFont="1" applyFill="1" applyBorder="1" applyAlignment="1">
      <alignment horizontal="left" vertical="center"/>
    </xf>
    <xf numFmtId="0" fontId="0" fillId="23" borderId="1" xfId="0" applyFill="1" applyBorder="1"/>
    <xf numFmtId="0" fontId="3" fillId="23" borderId="1" xfId="0" applyFont="1" applyFill="1" applyBorder="1" applyAlignment="1">
      <alignment horizontal="left" vertical="center"/>
    </xf>
    <xf numFmtId="0" fontId="0" fillId="7" borderId="1" xfId="0" applyFill="1" applyBorder="1"/>
    <xf numFmtId="0" fontId="3" fillId="7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3" fillId="10" borderId="1" xfId="0" applyFont="1" applyFill="1" applyBorder="1" applyAlignment="1">
      <alignment horizontal="left" vertical="center"/>
    </xf>
    <xf numFmtId="0" fontId="0" fillId="9" borderId="1" xfId="0" applyFill="1" applyBorder="1"/>
    <xf numFmtId="0" fontId="3" fillId="9" borderId="1" xfId="0" applyFont="1" applyFill="1" applyBorder="1" applyAlignment="1">
      <alignment horizontal="left" vertical="center"/>
    </xf>
    <xf numFmtId="0" fontId="0" fillId="6" borderId="1" xfId="0" applyFill="1" applyBorder="1"/>
    <xf numFmtId="0" fontId="3" fillId="6" borderId="1" xfId="0" applyFont="1" applyFill="1" applyBorder="1" applyAlignment="1">
      <alignment horizontal="left" vertical="center"/>
    </xf>
    <xf numFmtId="0" fontId="39" fillId="3" borderId="0" xfId="0" applyFont="1" applyFill="1" applyAlignment="1">
      <alignment horizontal="center" vertical="center" wrapText="1"/>
    </xf>
    <xf numFmtId="0" fontId="39" fillId="8" borderId="0" xfId="0" applyFont="1" applyFill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horizontal="center"/>
    </xf>
    <xf numFmtId="0" fontId="43" fillId="24" borderId="11" xfId="0" applyFont="1" applyFill="1" applyBorder="1" applyAlignment="1">
      <alignment horizontal="center" vertical="center" wrapText="1"/>
    </xf>
    <xf numFmtId="0" fontId="44" fillId="25" borderId="11" xfId="0" applyFont="1" applyFill="1" applyBorder="1" applyAlignment="1">
      <alignment horizontal="left" vertical="center" wrapText="1"/>
    </xf>
    <xf numFmtId="0" fontId="41" fillId="25" borderId="11" xfId="0" applyFont="1" applyFill="1" applyBorder="1" applyAlignment="1">
      <alignment horizontal="center" vertical="center" wrapText="1"/>
    </xf>
    <xf numFmtId="0" fontId="45" fillId="26" borderId="11" xfId="0" applyFont="1" applyFill="1" applyBorder="1" applyAlignment="1">
      <alignment horizontal="center" vertical="center" wrapText="1"/>
    </xf>
    <xf numFmtId="0" fontId="44" fillId="27" borderId="11" xfId="0" applyFont="1" applyFill="1" applyBorder="1" applyAlignment="1">
      <alignment horizontal="left" vertical="center" wrapText="1"/>
    </xf>
    <xf numFmtId="0" fontId="41" fillId="27" borderId="11" xfId="0" applyFont="1" applyFill="1" applyBorder="1" applyAlignment="1">
      <alignment horizontal="center" vertical="center" wrapText="1"/>
    </xf>
    <xf numFmtId="0" fontId="47" fillId="29" borderId="0" xfId="0" applyFont="1" applyFill="1" applyAlignment="1">
      <alignment horizontal="left" vertical="center"/>
    </xf>
    <xf numFmtId="0" fontId="0" fillId="30" borderId="0" xfId="0" applyFill="1"/>
    <xf numFmtId="0" fontId="48" fillId="30" borderId="0" xfId="0" applyFont="1" applyFill="1"/>
    <xf numFmtId="0" fontId="0" fillId="31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5" fillId="2" borderId="16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15" fillId="8" borderId="16" xfId="0" applyFont="1" applyFill="1" applyBorder="1" applyAlignment="1">
      <alignment horizontal="center" vertical="center" wrapText="1"/>
    </xf>
    <xf numFmtId="0" fontId="15" fillId="7" borderId="16" xfId="0" applyFont="1" applyFill="1" applyBorder="1" applyAlignment="1">
      <alignment horizontal="center" vertical="center" wrapText="1"/>
    </xf>
    <xf numFmtId="0" fontId="15" fillId="6" borderId="16" xfId="0" applyFont="1" applyFill="1" applyBorder="1" applyAlignment="1">
      <alignment horizontal="center" vertical="center" wrapText="1"/>
    </xf>
    <xf numFmtId="0" fontId="15" fillId="9" borderId="16" xfId="0" applyFont="1" applyFill="1" applyBorder="1" applyAlignment="1">
      <alignment horizontal="center" vertical="center" wrapText="1"/>
    </xf>
    <xf numFmtId="0" fontId="15" fillId="10" borderId="16" xfId="0" applyFont="1" applyFill="1" applyBorder="1" applyAlignment="1">
      <alignment horizontal="center" vertical="center" wrapText="1"/>
    </xf>
    <xf numFmtId="0" fontId="15" fillId="11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16" fillId="5" borderId="18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left" vertical="center"/>
    </xf>
    <xf numFmtId="0" fontId="6" fillId="5" borderId="18" xfId="0" applyFont="1" applyFill="1" applyBorder="1" applyAlignment="1">
      <alignment horizontal="left" vertical="center"/>
    </xf>
    <xf numFmtId="0" fontId="6" fillId="5" borderId="18" xfId="0" applyFont="1" applyFill="1" applyBorder="1" applyAlignment="1">
      <alignment horizontal="center" vertical="center"/>
    </xf>
    <xf numFmtId="0" fontId="17" fillId="5" borderId="18" xfId="0" applyFont="1" applyFill="1" applyBorder="1" applyAlignment="1">
      <alignment horizontal="center" vertical="center" wrapText="1"/>
    </xf>
    <xf numFmtId="0" fontId="18" fillId="12" borderId="18" xfId="0" applyFont="1" applyFill="1" applyBorder="1" applyAlignment="1">
      <alignment horizontal="center" vertical="center" wrapText="1"/>
    </xf>
    <xf numFmtId="0" fontId="19" fillId="5" borderId="18" xfId="0" applyFont="1" applyFill="1" applyBorder="1" applyAlignment="1">
      <alignment horizontal="center" vertical="center" wrapText="1"/>
    </xf>
    <xf numFmtId="164" fontId="8" fillId="5" borderId="18" xfId="0" applyNumberFormat="1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center" vertical="center" wrapText="1"/>
    </xf>
    <xf numFmtId="0" fontId="16" fillId="13" borderId="18" xfId="0" applyFont="1" applyFill="1" applyBorder="1" applyAlignment="1">
      <alignment horizontal="center" vertical="center" wrapText="1"/>
    </xf>
    <xf numFmtId="0" fontId="4" fillId="13" borderId="18" xfId="0" applyFont="1" applyFill="1" applyBorder="1" applyAlignment="1">
      <alignment horizontal="left" vertical="center"/>
    </xf>
    <xf numFmtId="0" fontId="6" fillId="13" borderId="18" xfId="0" applyFont="1" applyFill="1" applyBorder="1" applyAlignment="1">
      <alignment horizontal="left" vertical="center"/>
    </xf>
    <xf numFmtId="0" fontId="6" fillId="13" borderId="18" xfId="0" applyFont="1" applyFill="1" applyBorder="1" applyAlignment="1">
      <alignment horizontal="center" vertical="center"/>
    </xf>
    <xf numFmtId="0" fontId="17" fillId="13" borderId="18" xfId="0" applyFont="1" applyFill="1" applyBorder="1" applyAlignment="1">
      <alignment horizontal="center" vertical="center" wrapText="1"/>
    </xf>
    <xf numFmtId="0" fontId="21" fillId="14" borderId="18" xfId="0" applyFont="1" applyFill="1" applyBorder="1" applyAlignment="1">
      <alignment horizontal="center" vertical="center" wrapText="1"/>
    </xf>
    <xf numFmtId="0" fontId="19" fillId="13" borderId="18" xfId="0" applyFont="1" applyFill="1" applyBorder="1" applyAlignment="1">
      <alignment horizontal="center" vertical="center" wrapText="1"/>
    </xf>
    <xf numFmtId="164" fontId="8" fillId="13" borderId="18" xfId="0" applyNumberFormat="1" applyFont="1" applyFill="1" applyBorder="1" applyAlignment="1">
      <alignment horizontal="center" vertical="center" wrapText="1"/>
    </xf>
    <xf numFmtId="0" fontId="20" fillId="13" borderId="18" xfId="0" applyFont="1" applyFill="1" applyBorder="1" applyAlignment="1">
      <alignment horizontal="center" vertical="center" wrapText="1"/>
    </xf>
    <xf numFmtId="0" fontId="22" fillId="15" borderId="18" xfId="0" applyFont="1" applyFill="1" applyBorder="1" applyAlignment="1">
      <alignment horizontal="center" vertical="center" wrapText="1"/>
    </xf>
    <xf numFmtId="0" fontId="23" fillId="16" borderId="18" xfId="0" applyFont="1" applyFill="1" applyBorder="1" applyAlignment="1">
      <alignment horizontal="center" vertical="center" wrapText="1"/>
    </xf>
    <xf numFmtId="0" fontId="16" fillId="17" borderId="18" xfId="0" applyFont="1" applyFill="1" applyBorder="1" applyAlignment="1">
      <alignment horizontal="center" vertical="center" wrapText="1"/>
    </xf>
    <xf numFmtId="14" fontId="17" fillId="13" borderId="18" xfId="0" applyNumberFormat="1" applyFont="1" applyFill="1" applyBorder="1" applyAlignment="1">
      <alignment horizontal="center" vertical="center" wrapText="1"/>
    </xf>
    <xf numFmtId="14" fontId="19" fillId="13" borderId="18" xfId="0" applyNumberFormat="1" applyFont="1" applyFill="1" applyBorder="1" applyAlignment="1">
      <alignment horizontal="center" vertical="center" wrapText="1"/>
    </xf>
    <xf numFmtId="0" fontId="40" fillId="13" borderId="18" xfId="1" applyFill="1" applyBorder="1" applyAlignment="1">
      <alignment horizontal="center" vertical="center"/>
    </xf>
    <xf numFmtId="0" fontId="16" fillId="13" borderId="22" xfId="0" applyFont="1" applyFill="1" applyBorder="1" applyAlignment="1">
      <alignment horizontal="center" vertical="center" wrapText="1"/>
    </xf>
    <xf numFmtId="0" fontId="4" fillId="13" borderId="22" xfId="0" applyFont="1" applyFill="1" applyBorder="1" applyAlignment="1">
      <alignment horizontal="left" vertical="center"/>
    </xf>
    <xf numFmtId="0" fontId="6" fillId="13" borderId="22" xfId="0" applyFont="1" applyFill="1" applyBorder="1" applyAlignment="1">
      <alignment horizontal="left" vertical="center"/>
    </xf>
    <xf numFmtId="0" fontId="6" fillId="13" borderId="22" xfId="0" applyFont="1" applyFill="1" applyBorder="1" applyAlignment="1">
      <alignment horizontal="center" vertical="center"/>
    </xf>
    <xf numFmtId="14" fontId="17" fillId="13" borderId="22" xfId="0" applyNumberFormat="1" applyFont="1" applyFill="1" applyBorder="1" applyAlignment="1">
      <alignment horizontal="center" vertical="center" wrapText="1"/>
    </xf>
    <xf numFmtId="0" fontId="18" fillId="12" borderId="22" xfId="0" applyFont="1" applyFill="1" applyBorder="1" applyAlignment="1">
      <alignment horizontal="center" vertical="center" wrapText="1"/>
    </xf>
    <xf numFmtId="0" fontId="16" fillId="13" borderId="23" xfId="0" applyFont="1" applyFill="1" applyBorder="1" applyAlignment="1">
      <alignment horizontal="center" vertical="center" wrapText="1"/>
    </xf>
    <xf numFmtId="0" fontId="4" fillId="13" borderId="23" xfId="0" applyFont="1" applyFill="1" applyBorder="1" applyAlignment="1">
      <alignment horizontal="left" vertical="center"/>
    </xf>
    <xf numFmtId="0" fontId="6" fillId="13" borderId="23" xfId="0" applyFont="1" applyFill="1" applyBorder="1" applyAlignment="1">
      <alignment horizontal="left" vertical="center"/>
    </xf>
    <xf numFmtId="0" fontId="6" fillId="13" borderId="23" xfId="0" applyFont="1" applyFill="1" applyBorder="1" applyAlignment="1">
      <alignment horizontal="center" vertical="center"/>
    </xf>
    <xf numFmtId="14" fontId="17" fillId="13" borderId="23" xfId="0" applyNumberFormat="1" applyFont="1" applyFill="1" applyBorder="1" applyAlignment="1">
      <alignment horizontal="center" vertical="center" wrapText="1"/>
    </xf>
    <xf numFmtId="0" fontId="18" fillId="12" borderId="23" xfId="0" applyFont="1" applyFill="1" applyBorder="1" applyAlignment="1">
      <alignment horizontal="center" vertical="center" wrapText="1"/>
    </xf>
    <xf numFmtId="0" fontId="16" fillId="13" borderId="25" xfId="0" applyFont="1" applyFill="1" applyBorder="1" applyAlignment="1">
      <alignment horizontal="center" vertical="center" wrapText="1"/>
    </xf>
    <xf numFmtId="0" fontId="4" fillId="13" borderId="25" xfId="0" applyFont="1" applyFill="1" applyBorder="1" applyAlignment="1">
      <alignment horizontal="left" vertical="center"/>
    </xf>
    <xf numFmtId="0" fontId="6" fillId="13" borderId="25" xfId="0" applyFont="1" applyFill="1" applyBorder="1" applyAlignment="1">
      <alignment horizontal="left" vertical="center"/>
    </xf>
    <xf numFmtId="0" fontId="6" fillId="13" borderId="25" xfId="0" applyFont="1" applyFill="1" applyBorder="1" applyAlignment="1">
      <alignment horizontal="center" vertical="center"/>
    </xf>
    <xf numFmtId="0" fontId="19" fillId="13" borderId="23" xfId="0" applyFont="1" applyFill="1" applyBorder="1" applyAlignment="1">
      <alignment horizontal="center" vertical="center" wrapText="1"/>
    </xf>
    <xf numFmtId="164" fontId="8" fillId="13" borderId="23" xfId="0" applyNumberFormat="1" applyFont="1" applyFill="1" applyBorder="1" applyAlignment="1">
      <alignment horizontal="center" vertical="center" wrapText="1"/>
    </xf>
    <xf numFmtId="0" fontId="20" fillId="13" borderId="23" xfId="0" applyFont="1" applyFill="1" applyBorder="1" applyAlignment="1">
      <alignment horizontal="center" vertical="center" wrapText="1"/>
    </xf>
    <xf numFmtId="0" fontId="0" fillId="0" borderId="23" xfId="0" applyBorder="1"/>
    <xf numFmtId="0" fontId="6" fillId="13" borderId="26" xfId="0" applyFont="1" applyFill="1" applyBorder="1" applyAlignment="1">
      <alignment horizontal="center" vertical="center"/>
    </xf>
    <xf numFmtId="0" fontId="6" fillId="13" borderId="24" xfId="0" applyFont="1" applyFill="1" applyBorder="1" applyAlignment="1">
      <alignment horizontal="center" vertical="center"/>
    </xf>
    <xf numFmtId="0" fontId="0" fillId="0" borderId="27" xfId="0" applyBorder="1"/>
    <xf numFmtId="0" fontId="19" fillId="13" borderId="22" xfId="0" applyFont="1" applyFill="1" applyBorder="1" applyAlignment="1">
      <alignment horizontal="center" vertical="center" wrapText="1"/>
    </xf>
    <xf numFmtId="164" fontId="8" fillId="13" borderId="22" xfId="0" applyNumberFormat="1" applyFont="1" applyFill="1" applyBorder="1" applyAlignment="1">
      <alignment horizontal="center" vertical="center" wrapText="1"/>
    </xf>
    <xf numFmtId="0" fontId="20" fillId="13" borderId="22" xfId="0" applyFont="1" applyFill="1" applyBorder="1" applyAlignment="1">
      <alignment horizontal="center" vertical="center" wrapText="1"/>
    </xf>
    <xf numFmtId="0" fontId="40" fillId="13" borderId="26" xfId="1" applyFill="1" applyBorder="1" applyAlignment="1">
      <alignment horizontal="center" vertical="center"/>
    </xf>
    <xf numFmtId="14" fontId="0" fillId="0" borderId="15" xfId="0" applyNumberFormat="1" applyBorder="1"/>
    <xf numFmtId="14" fontId="0" fillId="0" borderId="23" xfId="0" applyNumberFormat="1" applyBorder="1"/>
    <xf numFmtId="0" fontId="16" fillId="13" borderId="0" xfId="0" applyFont="1" applyFill="1" applyAlignment="1">
      <alignment horizontal="center" vertical="center" wrapText="1"/>
    </xf>
    <xf numFmtId="0" fontId="4" fillId="13" borderId="0" xfId="0" applyFont="1" applyFill="1" applyAlignment="1">
      <alignment horizontal="left" vertical="center"/>
    </xf>
    <xf numFmtId="0" fontId="6" fillId="13" borderId="0" xfId="0" applyFont="1" applyFill="1" applyAlignment="1">
      <alignment horizontal="left" vertical="center"/>
    </xf>
    <xf numFmtId="0" fontId="6" fillId="13" borderId="0" xfId="0" applyFont="1" applyFill="1" applyAlignment="1">
      <alignment horizontal="center" vertical="center"/>
    </xf>
    <xf numFmtId="0" fontId="40" fillId="13" borderId="24" xfId="1" applyFill="1" applyBorder="1" applyAlignment="1">
      <alignment horizontal="center" vertical="center"/>
    </xf>
    <xf numFmtId="14" fontId="19" fillId="13" borderId="23" xfId="0" applyNumberFormat="1" applyFont="1" applyFill="1" applyBorder="1" applyAlignment="1">
      <alignment horizontal="center" vertical="center" wrapText="1"/>
    </xf>
    <xf numFmtId="0" fontId="40" fillId="13" borderId="25" xfId="1" applyFill="1" applyBorder="1" applyAlignment="1">
      <alignment horizontal="left" vertical="center"/>
    </xf>
    <xf numFmtId="0" fontId="14" fillId="2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6" fillId="5" borderId="2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center" vertical="center" wrapText="1"/>
    </xf>
    <xf numFmtId="0" fontId="26" fillId="5" borderId="3" xfId="0" applyFont="1" applyFill="1" applyBorder="1" applyAlignment="1">
      <alignment horizontal="center" vertical="center" wrapText="1"/>
    </xf>
    <xf numFmtId="0" fontId="27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28" fillId="5" borderId="5" xfId="0" applyFont="1" applyFill="1" applyBorder="1" applyAlignment="1">
      <alignment horizontal="center" vertical="center" wrapText="1"/>
    </xf>
    <xf numFmtId="0" fontId="29" fillId="5" borderId="6" xfId="0" applyFont="1" applyFill="1" applyBorder="1" applyAlignment="1">
      <alignment horizontal="center" vertical="center" wrapText="1"/>
    </xf>
    <xf numFmtId="0" fontId="30" fillId="5" borderId="7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164" fontId="31" fillId="5" borderId="8" xfId="0" applyNumberFormat="1" applyFont="1" applyFill="1" applyBorder="1" applyAlignment="1">
      <alignment horizontal="center" vertical="center" wrapText="1"/>
    </xf>
    <xf numFmtId="164" fontId="32" fillId="5" borderId="9" xfId="0" applyNumberFormat="1" applyFont="1" applyFill="1" applyBorder="1" applyAlignment="1">
      <alignment horizontal="center" vertical="center" wrapText="1"/>
    </xf>
    <xf numFmtId="164" fontId="33" fillId="5" borderId="4" xfId="0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165" fontId="34" fillId="5" borderId="1" xfId="0" applyNumberFormat="1" applyFont="1" applyFill="1" applyBorder="1" applyAlignment="1">
      <alignment horizontal="center" vertical="center" wrapText="1"/>
    </xf>
    <xf numFmtId="0" fontId="35" fillId="5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165" fontId="34" fillId="4" borderId="1" xfId="0" applyNumberFormat="1" applyFont="1" applyFill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left" vertical="center" wrapText="1"/>
    </xf>
    <xf numFmtId="164" fontId="34" fillId="5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42" fillId="24" borderId="0" xfId="0" applyFont="1" applyFill="1" applyAlignment="1">
      <alignment horizontal="center" vertical="center"/>
    </xf>
    <xf numFmtId="0" fontId="46" fillId="28" borderId="0" xfId="0" applyFont="1" applyFill="1" applyAlignment="1">
      <alignment horizontal="center" vertical="center"/>
    </xf>
    <xf numFmtId="0" fontId="0" fillId="0" borderId="0" xfId="0" applyAlignment="1"/>
    <xf numFmtId="0" fontId="0" fillId="29" borderId="0" xfId="0" applyFill="1" applyAlignment="1"/>
  </cellXfs>
  <cellStyles count="2">
    <cellStyle name="Hyperlink" xfId="1" xr:uid="{00000000-000B-0000-0000-000008000000}"/>
    <cellStyle name="Normal" xfId="0" builtinId="0"/>
  </cellStyles>
  <dxfs count="28">
    <dxf>
      <font>
        <b/>
        <sz val="9"/>
        <color rgb="FFC0392B"/>
        <name val="Arial"/>
        <charset val="1"/>
      </font>
      <fill>
        <patternFill>
          <bgColor rgb="FFFDECEA"/>
        </patternFill>
      </fill>
    </dxf>
    <dxf>
      <font>
        <b/>
        <sz val="9"/>
        <color rgb="FF0E7C4A"/>
        <name val="Arial"/>
        <charset val="1"/>
      </font>
      <fill>
        <patternFill>
          <bgColor rgb="FFE6F5EE"/>
        </patternFill>
      </fill>
    </dxf>
    <dxf>
      <font>
        <b/>
        <sz val="9"/>
        <color rgb="FF6B2D8B"/>
        <name val="Arial"/>
        <charset val="1"/>
      </font>
      <fill>
        <patternFill>
          <bgColor rgb="FFF3E8FA"/>
        </patternFill>
      </fill>
    </dxf>
    <dxf>
      <font>
        <b/>
        <sz val="9"/>
        <color rgb="FFD4600A"/>
        <name val="Arial"/>
        <charset val="1"/>
      </font>
      <fill>
        <patternFill>
          <bgColor rgb="FFFFF0E0"/>
        </patternFill>
      </fill>
    </dxf>
    <dxf>
      <font>
        <b/>
        <sz val="9"/>
        <color rgb="FF0D6B6B"/>
        <name val="Arial"/>
        <charset val="1"/>
      </font>
      <fill>
        <patternFill>
          <bgColor rgb="FFE6F5F5"/>
        </patternFill>
      </fill>
    </dxf>
    <dxf>
      <font>
        <b/>
        <sz val="9"/>
        <color rgb="FF1A4B8C"/>
        <name val="Arial"/>
        <charset val="1"/>
      </font>
      <fill>
        <patternFill>
          <bgColor rgb="FFE6EEF8"/>
        </patternFill>
      </fill>
    </dxf>
    <dxf>
      <font>
        <b/>
        <sz val="9"/>
        <color rgb="FF8A9AB0"/>
        <name val="Arial"/>
        <charset val="1"/>
      </font>
      <fill>
        <patternFill>
          <bgColor rgb="FFE8EEF8"/>
        </patternFill>
      </fill>
    </dxf>
    <dxf>
      <font>
        <b/>
        <sz val="9"/>
        <color rgb="FFC0392B"/>
        <name val="Arial"/>
        <charset val="1"/>
      </font>
      <fill>
        <patternFill>
          <bgColor rgb="FFFDECEA"/>
        </patternFill>
      </fill>
    </dxf>
    <dxf>
      <font>
        <b/>
        <sz val="9"/>
        <color rgb="FF0E7C4A"/>
        <name val="Arial"/>
        <charset val="1"/>
      </font>
      <fill>
        <patternFill>
          <bgColor rgb="FFE6F5EE"/>
        </patternFill>
      </fill>
    </dxf>
    <dxf>
      <font>
        <b/>
        <sz val="9"/>
        <color rgb="FF6B2D8B"/>
        <name val="Arial"/>
        <charset val="1"/>
      </font>
      <fill>
        <patternFill>
          <bgColor rgb="FFF3E8FA"/>
        </patternFill>
      </fill>
    </dxf>
    <dxf>
      <font>
        <b/>
        <sz val="9"/>
        <color rgb="FFD4600A"/>
        <name val="Arial"/>
        <charset val="1"/>
      </font>
      <fill>
        <patternFill>
          <bgColor rgb="FFFFF0E0"/>
        </patternFill>
      </fill>
    </dxf>
    <dxf>
      <font>
        <b/>
        <sz val="9"/>
        <color rgb="FF0D6B6B"/>
        <name val="Arial"/>
        <charset val="1"/>
      </font>
      <fill>
        <patternFill>
          <bgColor rgb="FFE6F5F5"/>
        </patternFill>
      </fill>
    </dxf>
    <dxf>
      <font>
        <b/>
        <sz val="9"/>
        <color rgb="FF1A4B8C"/>
        <name val="Arial"/>
        <charset val="1"/>
      </font>
      <fill>
        <patternFill>
          <bgColor rgb="FFE6EEF8"/>
        </patternFill>
      </fill>
    </dxf>
    <dxf>
      <font>
        <b/>
        <sz val="9"/>
        <color rgb="FF8A9AB0"/>
        <name val="Arial"/>
        <charset val="1"/>
      </font>
      <fill>
        <patternFill>
          <bgColor rgb="FFE8EEF8"/>
        </patternFill>
      </fill>
    </dxf>
    <dxf>
      <font>
        <b/>
        <sz val="9"/>
        <color rgb="FFC0392B"/>
        <name val="Arial"/>
        <charset val="1"/>
      </font>
      <fill>
        <patternFill>
          <bgColor rgb="FFFDECEA"/>
        </patternFill>
      </fill>
    </dxf>
    <dxf>
      <font>
        <b/>
        <sz val="9"/>
        <color rgb="FF0E7C4A"/>
        <name val="Arial"/>
        <charset val="1"/>
      </font>
      <fill>
        <patternFill>
          <bgColor rgb="FFE6F5EE"/>
        </patternFill>
      </fill>
    </dxf>
    <dxf>
      <font>
        <b/>
        <sz val="9"/>
        <color rgb="FF6B2D8B"/>
        <name val="Arial"/>
        <charset val="1"/>
      </font>
      <fill>
        <patternFill>
          <bgColor rgb="FFF3E8FA"/>
        </patternFill>
      </fill>
    </dxf>
    <dxf>
      <font>
        <b/>
        <sz val="9"/>
        <color rgb="FFD4600A"/>
        <name val="Arial"/>
        <charset val="1"/>
      </font>
      <fill>
        <patternFill>
          <bgColor rgb="FFFFF0E0"/>
        </patternFill>
      </fill>
    </dxf>
    <dxf>
      <font>
        <b/>
        <sz val="9"/>
        <color rgb="FF0D6B6B"/>
        <name val="Arial"/>
        <charset val="1"/>
      </font>
      <fill>
        <patternFill>
          <bgColor rgb="FFE6F5F5"/>
        </patternFill>
      </fill>
    </dxf>
    <dxf>
      <font>
        <b/>
        <sz val="9"/>
        <color rgb="FF1A4B8C"/>
        <name val="Arial"/>
        <charset val="1"/>
      </font>
      <fill>
        <patternFill>
          <bgColor rgb="FFE6EEF8"/>
        </patternFill>
      </fill>
    </dxf>
    <dxf>
      <font>
        <b/>
        <sz val="9"/>
        <color rgb="FF8A9AB0"/>
        <name val="Arial"/>
        <charset val="1"/>
      </font>
      <fill>
        <patternFill>
          <bgColor rgb="FFE8EEF8"/>
        </patternFill>
      </fill>
    </dxf>
    <dxf>
      <font>
        <b/>
        <sz val="9"/>
        <color rgb="FFC0392B"/>
        <name val="Arial"/>
        <charset val="1"/>
      </font>
      <fill>
        <patternFill>
          <bgColor rgb="FFFDECEA"/>
        </patternFill>
      </fill>
    </dxf>
    <dxf>
      <font>
        <b/>
        <sz val="9"/>
        <color rgb="FF0E7C4A"/>
        <name val="Arial"/>
        <charset val="1"/>
      </font>
      <fill>
        <patternFill>
          <bgColor rgb="FFE6F5EE"/>
        </patternFill>
      </fill>
    </dxf>
    <dxf>
      <font>
        <b/>
        <sz val="9"/>
        <color rgb="FF6B2D8B"/>
        <name val="Arial"/>
        <charset val="1"/>
      </font>
      <fill>
        <patternFill>
          <bgColor rgb="FFF3E8FA"/>
        </patternFill>
      </fill>
    </dxf>
    <dxf>
      <font>
        <b/>
        <sz val="9"/>
        <color rgb="FFD4600A"/>
        <name val="Arial"/>
        <charset val="1"/>
      </font>
      <fill>
        <patternFill>
          <bgColor rgb="FFFFF0E0"/>
        </patternFill>
      </fill>
    </dxf>
    <dxf>
      <font>
        <b/>
        <sz val="9"/>
        <color rgb="FF0D6B6B"/>
        <name val="Arial"/>
        <charset val="1"/>
      </font>
      <fill>
        <patternFill>
          <bgColor rgb="FFE6F5F5"/>
        </patternFill>
      </fill>
    </dxf>
    <dxf>
      <font>
        <b/>
        <sz val="9"/>
        <color rgb="FF1A4B8C"/>
        <name val="Arial"/>
        <charset val="1"/>
      </font>
      <fill>
        <patternFill>
          <bgColor rgb="FFE6EEF8"/>
        </patternFill>
      </fill>
    </dxf>
    <dxf>
      <font>
        <b/>
        <sz val="9"/>
        <color rgb="FF8A9AB0"/>
        <name val="Arial"/>
        <charset val="1"/>
      </font>
      <fill>
        <patternFill>
          <bgColor rgb="FFE8EEF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DF5"/>
      <rgbColor rgb="FFFF00FF"/>
      <rgbColor rgb="FF00FFFF"/>
      <rgbColor rgb="FF800000"/>
      <rgbColor rgb="FF008000"/>
      <rgbColor rgb="FF000080"/>
      <rgbColor rgb="FF808000"/>
      <rgbColor rgb="FF800080"/>
      <rgbColor rgb="FF0D6B6B"/>
      <rgbColor rgb="FFD0D8E8"/>
      <rgbColor rgb="FF808080"/>
      <rgbColor rgb="FFE8EEF8"/>
      <rgbColor rgb="FFC13584"/>
      <rgbColor rgb="FFFFFACD"/>
      <rgbColor rgb="FFE6F5F5"/>
      <rgbColor rgb="FF660066"/>
      <rgbColor rgb="FFFF8080"/>
      <rgbColor rgb="FF0A66C2"/>
      <rgbColor rgb="FFC8D8F0"/>
      <rgbColor rgb="FF000080"/>
      <rgbColor rgb="FFFF00FF"/>
      <rgbColor rgb="FFF2F4F8"/>
      <rgbColor rgb="FF00FFFF"/>
      <rgbColor rgb="FF800080"/>
      <rgbColor rgb="FF800000"/>
      <rgbColor rgb="FF0E7C4A"/>
      <rgbColor rgb="FF0000FF"/>
      <rgbColor rgb="FF00CCFF"/>
      <rgbColor rgb="FFE6F5EE"/>
      <rgbColor rgb="FFE8F4FD"/>
      <rgbColor rgb="FFFFF0E0"/>
      <rgbColor rgb="FF9BB8E8"/>
      <rgbColor rgb="FFF3E8FA"/>
      <rgbColor rgb="FFE6EEF8"/>
      <rgbColor rgb="FFFDECEA"/>
      <rgbColor rgb="FF3366FF"/>
      <rgbColor rgb="FF25D366"/>
      <rgbColor rgb="FF99CC00"/>
      <rgbColor rgb="FFF8FAFC"/>
      <rgbColor rgb="FFE8A020"/>
      <rgbColor rgb="FFD4600A"/>
      <rgbColor rgb="FF666699"/>
      <rgbColor rgb="FF8A9AB0"/>
      <rgbColor rgb="FF0B1F3A"/>
      <rgbColor rgb="FF339966"/>
      <rgbColor rgb="FF003300"/>
      <rgbColor rgb="FF1A1A2E"/>
      <rgbColor rgb="FFC0392B"/>
      <rgbColor rgb="FF6B2D8B"/>
      <rgbColor rgb="FF1A4B8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infoline.asr@gmail.com" TargetMode="External"/><Relationship Id="rId13" Type="http://schemas.openxmlformats.org/officeDocument/2006/relationships/hyperlink" Target="mailto:bally.rachida@gmail.com" TargetMode="External"/><Relationship Id="rId18" Type="http://schemas.openxmlformats.org/officeDocument/2006/relationships/hyperlink" Target="mailto:awadoumbia@51yahoo.fr" TargetMode="External"/><Relationship Id="rId26" Type="http://schemas.openxmlformats.org/officeDocument/2006/relationships/hyperlink" Target="mailto:tropikalbko@gmail.com" TargetMode="External"/><Relationship Id="rId3" Type="http://schemas.openxmlformats.org/officeDocument/2006/relationships/hyperlink" Target="mailto:resavillasoudan@yahoo.fr" TargetMode="External"/><Relationship Id="rId21" Type="http://schemas.openxmlformats.org/officeDocument/2006/relationships/hyperlink" Target="mailto:agif.mali@yahoo.fr" TargetMode="External"/><Relationship Id="rId7" Type="http://schemas.openxmlformats.org/officeDocument/2006/relationships/hyperlink" Target="mailto:germinal1niamana@gmail.com" TargetMode="External"/><Relationship Id="rId12" Type="http://schemas.openxmlformats.org/officeDocument/2006/relationships/hyperlink" Target="mailto:extrasaveur@gmail.com" TargetMode="External"/><Relationship Id="rId17" Type="http://schemas.openxmlformats.org/officeDocument/2006/relationships/hyperlink" Target="mailto:kalifadrame63@gmail.com" TargetMode="External"/><Relationship Id="rId25" Type="http://schemas.openxmlformats.org/officeDocument/2006/relationships/hyperlink" Target="mailto:info@uass.ml" TargetMode="External"/><Relationship Id="rId2" Type="http://schemas.openxmlformats.org/officeDocument/2006/relationships/hyperlink" Target="mailto:nsiamali@groupensia.com" TargetMode="External"/><Relationship Id="rId16" Type="http://schemas.openxmlformats.org/officeDocument/2006/relationships/hyperlink" Target="mailto:yirimali@gmail.com" TargetMode="External"/><Relationship Id="rId20" Type="http://schemas.openxmlformats.org/officeDocument/2006/relationships/hyperlink" Target="mailto:contact@ekimm-mali.com" TargetMode="External"/><Relationship Id="rId29" Type="http://schemas.openxmlformats.org/officeDocument/2006/relationships/hyperlink" Target="mailto:renseigment@eutg-mali.com" TargetMode="External"/><Relationship Id="rId1" Type="http://schemas.openxmlformats.org/officeDocument/2006/relationships/hyperlink" Target="mailto:agencedabo01@gmail.com" TargetMode="External"/><Relationship Id="rId6" Type="http://schemas.openxmlformats.org/officeDocument/2006/relationships/hyperlink" Target="mailto:losturcosbko@gmail.com" TargetMode="External"/><Relationship Id="rId11" Type="http://schemas.openxmlformats.org/officeDocument/2006/relationships/hyperlink" Target="mailto:grouptaqwaserviceimmobilier@gmail.com" TargetMode="External"/><Relationship Id="rId24" Type="http://schemas.openxmlformats.org/officeDocument/2006/relationships/hyperlink" Target="mailto:karamfriedchicken@gmail.com" TargetMode="External"/><Relationship Id="rId32" Type="http://schemas.openxmlformats.org/officeDocument/2006/relationships/hyperlink" Target="mailto:contact@iscmali.ml" TargetMode="External"/><Relationship Id="rId5" Type="http://schemas.openxmlformats.org/officeDocument/2006/relationships/hyperlink" Target="mailto:lerelais@orangemali.net" TargetMode="External"/><Relationship Id="rId15" Type="http://schemas.openxmlformats.org/officeDocument/2006/relationships/hyperlink" Target="mailto:skcouture20@gmail.com" TargetMode="External"/><Relationship Id="rId23" Type="http://schemas.openxmlformats.org/officeDocument/2006/relationships/hyperlink" Target="mailto:sigmaburgers.@gmail.com" TargetMode="External"/><Relationship Id="rId28" Type="http://schemas.openxmlformats.org/officeDocument/2006/relationships/hyperlink" Target="mailto:marketing.bko@blueberry-travel.com" TargetMode="External"/><Relationship Id="rId10" Type="http://schemas.openxmlformats.org/officeDocument/2006/relationships/hyperlink" Target="mailto:ecoboosterlink2@gmail.com" TargetMode="External"/><Relationship Id="rId19" Type="http://schemas.openxmlformats.org/officeDocument/2006/relationships/hyperlink" Target="mailto:agenceimmobiliereniorodusahel@gmail.com" TargetMode="External"/><Relationship Id="rId31" Type="http://schemas.openxmlformats.org/officeDocument/2006/relationships/hyperlink" Target="mailto:esgbamako@gmail.com" TargetMode="External"/><Relationship Id="rId4" Type="http://schemas.openxmlformats.org/officeDocument/2006/relationships/hyperlink" Target="mailto:rootsbamako@gmail.com" TargetMode="External"/><Relationship Id="rId9" Type="http://schemas.openxmlformats.org/officeDocument/2006/relationships/hyperlink" Target="mailto:info@twane.fr" TargetMode="External"/><Relationship Id="rId14" Type="http://schemas.openxmlformats.org/officeDocument/2006/relationships/hyperlink" Target="mailto:terravitamali01@gmail.com" TargetMode="External"/><Relationship Id="rId22" Type="http://schemas.openxmlformats.org/officeDocument/2006/relationships/hyperlink" Target="mailto:moussa.diarouma@pisoummotors.com" TargetMode="External"/><Relationship Id="rId27" Type="http://schemas.openxmlformats.org/officeDocument/2006/relationships/hyperlink" Target="mailto:universityubim@gmail.com" TargetMode="External"/><Relationship Id="rId30" Type="http://schemas.openxmlformats.org/officeDocument/2006/relationships/hyperlink" Target="mailto:contact@itma-mal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showGridLines="0" topLeftCell="A2" zoomScaleNormal="100" workbookViewId="0">
      <selection activeCell="G12" sqref="G12"/>
    </sheetView>
  </sheetViews>
  <sheetFormatPr defaultColWidth="8.7109375" defaultRowHeight="15"/>
  <cols>
    <col min="1" max="1" width="3" customWidth="1"/>
    <col min="2" max="2" width="22" customWidth="1"/>
    <col min="3" max="3" width="45" customWidth="1"/>
    <col min="4" max="4" width="35" customWidth="1"/>
    <col min="5" max="5" width="3" customWidth="1"/>
  </cols>
  <sheetData>
    <row r="1" spans="1:5" ht="7.5" customHeight="1">
      <c r="A1" s="2"/>
      <c r="B1" s="2"/>
      <c r="C1" s="2"/>
      <c r="D1" s="2"/>
      <c r="E1" s="2"/>
    </row>
    <row r="2" spans="1:5" ht="37.5" customHeight="1">
      <c r="A2" s="2"/>
      <c r="B2" s="3" t="s">
        <v>0</v>
      </c>
      <c r="C2" s="2"/>
      <c r="D2" s="2"/>
      <c r="E2" s="2"/>
    </row>
    <row r="3" spans="1:5" ht="21.75" customHeight="1">
      <c r="A3" s="2"/>
      <c r="B3" s="4" t="s">
        <v>1</v>
      </c>
      <c r="C3" s="2"/>
      <c r="D3" s="2"/>
      <c r="E3" s="2"/>
    </row>
    <row r="4" spans="1:5" ht="7.5" customHeight="1">
      <c r="A4" s="2"/>
      <c r="B4" s="2"/>
      <c r="C4" s="2"/>
      <c r="D4" s="2"/>
      <c r="E4" s="2"/>
    </row>
    <row r="5" spans="1:5" ht="13.5" customHeight="1"/>
    <row r="6" spans="1:5" ht="27.75" customHeight="1">
      <c r="A6" s="5"/>
      <c r="B6" s="6" t="s">
        <v>2</v>
      </c>
      <c r="C6" s="5"/>
      <c r="D6" s="5"/>
      <c r="E6" s="5"/>
    </row>
    <row r="7" spans="1:5" ht="18" customHeight="1">
      <c r="A7" s="7"/>
      <c r="B7" s="8" t="s">
        <v>3</v>
      </c>
      <c r="C7" s="8" t="s">
        <v>4</v>
      </c>
      <c r="D7" s="8" t="s">
        <v>5</v>
      </c>
      <c r="E7" s="7"/>
    </row>
    <row r="8" spans="1:5" ht="21.75" customHeight="1">
      <c r="A8" s="9"/>
      <c r="B8" s="10" t="s">
        <v>6</v>
      </c>
      <c r="C8" s="11" t="s">
        <v>7</v>
      </c>
      <c r="D8" s="12" t="s">
        <v>8</v>
      </c>
      <c r="E8" s="9"/>
    </row>
    <row r="9" spans="1:5" ht="21.75" customHeight="1">
      <c r="A9" s="13"/>
      <c r="B9" s="14" t="s">
        <v>9</v>
      </c>
      <c r="C9" s="15" t="s">
        <v>10</v>
      </c>
      <c r="D9" s="16" t="s">
        <v>11</v>
      </c>
      <c r="E9" s="13"/>
    </row>
    <row r="10" spans="1:5" ht="21.75" customHeight="1">
      <c r="A10" s="9"/>
      <c r="B10" s="10" t="s">
        <v>12</v>
      </c>
      <c r="C10" s="11" t="s">
        <v>13</v>
      </c>
      <c r="D10" s="12" t="s">
        <v>14</v>
      </c>
      <c r="E10" s="9"/>
    </row>
    <row r="11" spans="1:5" ht="21.75" customHeight="1">
      <c r="A11" s="13"/>
      <c r="B11" s="14" t="s">
        <v>15</v>
      </c>
      <c r="C11" s="15" t="s">
        <v>16</v>
      </c>
      <c r="D11" s="16" t="s">
        <v>17</v>
      </c>
      <c r="E11" s="13"/>
    </row>
    <row r="12" spans="1:5" ht="21.75" customHeight="1">
      <c r="A12" s="9"/>
      <c r="B12" s="10" t="s">
        <v>18</v>
      </c>
      <c r="C12" s="11" t="s">
        <v>19</v>
      </c>
      <c r="D12" s="12" t="s">
        <v>20</v>
      </c>
      <c r="E12" s="9"/>
    </row>
    <row r="13" spans="1:5" ht="13.5" customHeight="1"/>
    <row r="14" spans="1:5" ht="27.75" customHeight="1">
      <c r="A14" s="17"/>
      <c r="B14" s="18" t="s">
        <v>21</v>
      </c>
      <c r="C14" s="17"/>
      <c r="D14" s="17"/>
      <c r="E14" s="17"/>
    </row>
    <row r="15" spans="1:5" ht="18" customHeight="1">
      <c r="A15" s="7"/>
      <c r="B15" s="19" t="s">
        <v>22</v>
      </c>
      <c r="C15" s="19" t="s">
        <v>4</v>
      </c>
      <c r="D15" s="7"/>
      <c r="E15" s="7"/>
    </row>
    <row r="16" spans="1:5" ht="19.5" customHeight="1">
      <c r="A16" s="9"/>
      <c r="B16" s="20" t="s">
        <v>23</v>
      </c>
      <c r="C16" s="11" t="s">
        <v>24</v>
      </c>
      <c r="D16" s="9"/>
      <c r="E16" s="9"/>
    </row>
    <row r="17" spans="1:5" ht="19.5" customHeight="1">
      <c r="A17" s="13"/>
      <c r="B17" s="21" t="s">
        <v>25</v>
      </c>
      <c r="C17" s="15" t="s">
        <v>26</v>
      </c>
      <c r="D17" s="13"/>
      <c r="E17" s="13"/>
    </row>
    <row r="18" spans="1:5" ht="19.5" customHeight="1">
      <c r="A18" s="9"/>
      <c r="B18" s="20" t="s">
        <v>27</v>
      </c>
      <c r="C18" s="11" t="s">
        <v>28</v>
      </c>
      <c r="D18" s="9"/>
      <c r="E18" s="9"/>
    </row>
    <row r="19" spans="1:5" ht="19.5" customHeight="1">
      <c r="A19" s="13"/>
      <c r="B19" s="21" t="s">
        <v>29</v>
      </c>
      <c r="C19" s="15" t="s">
        <v>30</v>
      </c>
      <c r="D19" s="13"/>
      <c r="E19" s="13"/>
    </row>
    <row r="20" spans="1:5" ht="19.5" customHeight="1">
      <c r="A20" s="9"/>
      <c r="B20" s="20" t="s">
        <v>31</v>
      </c>
      <c r="C20" s="11" t="s">
        <v>32</v>
      </c>
      <c r="D20" s="9"/>
      <c r="E20" s="9"/>
    </row>
    <row r="21" spans="1:5" ht="19.5" customHeight="1">
      <c r="A21" s="13"/>
      <c r="B21" s="21" t="s">
        <v>33</v>
      </c>
      <c r="C21" s="15" t="s">
        <v>34</v>
      </c>
      <c r="D21" s="13"/>
      <c r="E21" s="13"/>
    </row>
    <row r="22" spans="1:5" ht="19.5" customHeight="1">
      <c r="A22" s="9"/>
      <c r="B22" s="20" t="s">
        <v>35</v>
      </c>
      <c r="C22" s="11" t="s">
        <v>36</v>
      </c>
      <c r="D22" s="9"/>
      <c r="E22" s="9"/>
    </row>
    <row r="23" spans="1:5" ht="19.5" customHeight="1">
      <c r="A23" s="13"/>
      <c r="B23" s="21" t="s">
        <v>37</v>
      </c>
      <c r="C23" s="15" t="s">
        <v>38</v>
      </c>
      <c r="D23" s="13"/>
      <c r="E23" s="13"/>
    </row>
    <row r="24" spans="1:5" ht="13.5" customHeight="1"/>
    <row r="25" spans="1:5" ht="27.75" customHeight="1">
      <c r="A25" s="22"/>
      <c r="B25" s="23" t="s">
        <v>39</v>
      </c>
      <c r="C25" s="22"/>
      <c r="D25" s="22"/>
      <c r="E25" s="22"/>
    </row>
    <row r="26" spans="1:5" ht="18" customHeight="1">
      <c r="A26" s="7"/>
      <c r="B26" s="19" t="s">
        <v>40</v>
      </c>
      <c r="C26" s="19" t="s">
        <v>41</v>
      </c>
      <c r="D26" s="7"/>
      <c r="E26" s="7"/>
    </row>
    <row r="27" spans="1:5" ht="21.75" customHeight="1">
      <c r="A27" s="9"/>
      <c r="B27" s="24" t="s">
        <v>42</v>
      </c>
      <c r="C27" s="11" t="s">
        <v>43</v>
      </c>
      <c r="D27" s="9"/>
      <c r="E27" s="9"/>
    </row>
    <row r="28" spans="1:5" ht="21.75" customHeight="1">
      <c r="A28" s="13"/>
      <c r="B28" s="14" t="s">
        <v>44</v>
      </c>
      <c r="C28" s="15" t="s">
        <v>45</v>
      </c>
      <c r="D28" s="13"/>
      <c r="E28" s="13"/>
    </row>
    <row r="29" spans="1:5" ht="21.75" customHeight="1">
      <c r="A29" s="9"/>
      <c r="B29" s="25" t="s">
        <v>46</v>
      </c>
      <c r="C29" s="11" t="s">
        <v>47</v>
      </c>
      <c r="D29" s="9"/>
      <c r="E29" s="9"/>
    </row>
    <row r="30" spans="1:5" ht="21.75" customHeight="1">
      <c r="A30" s="13"/>
      <c r="B30" s="26" t="s">
        <v>48</v>
      </c>
      <c r="C30" s="15" t="s">
        <v>49</v>
      </c>
      <c r="D30" s="13"/>
      <c r="E30" s="13"/>
    </row>
    <row r="31" spans="1:5" ht="21.75" customHeight="1">
      <c r="A31" s="9"/>
      <c r="B31" s="27" t="s">
        <v>50</v>
      </c>
      <c r="C31" s="11" t="s">
        <v>51</v>
      </c>
      <c r="D31" s="9"/>
      <c r="E31" s="9"/>
    </row>
    <row r="32" spans="1:5" ht="21.75" customHeight="1">
      <c r="A32" s="13"/>
      <c r="B32" s="21" t="s">
        <v>52</v>
      </c>
      <c r="C32" s="15" t="s">
        <v>53</v>
      </c>
      <c r="D32" s="13"/>
      <c r="E32" s="13"/>
    </row>
    <row r="33" spans="1:5" ht="21.75" customHeight="1">
      <c r="A33" s="9"/>
      <c r="B33" s="28" t="s">
        <v>54</v>
      </c>
      <c r="C33" s="11" t="s">
        <v>55</v>
      </c>
      <c r="D33" s="9"/>
      <c r="E33" s="9"/>
    </row>
    <row r="35" spans="1:5" ht="30" customHeight="1">
      <c r="A35" s="72"/>
      <c r="B35" s="73" t="s">
        <v>56</v>
      </c>
      <c r="C35" s="72"/>
      <c r="D35" s="72"/>
      <c r="E35" s="72"/>
    </row>
    <row r="36" spans="1:5">
      <c r="B36" t="s">
        <v>57</v>
      </c>
    </row>
    <row r="37" spans="1:5">
      <c r="B37" t="s">
        <v>58</v>
      </c>
    </row>
    <row r="38" spans="1:5">
      <c r="B38" t="s">
        <v>59</v>
      </c>
    </row>
    <row r="39" spans="1:5">
      <c r="B39" t="s">
        <v>60</v>
      </c>
    </row>
    <row r="40" spans="1:5">
      <c r="B40" t="s">
        <v>54</v>
      </c>
    </row>
    <row r="41" spans="1:5">
      <c r="B41" t="s">
        <v>61</v>
      </c>
    </row>
    <row r="42" spans="1:5">
      <c r="B42" t="s">
        <v>62</v>
      </c>
    </row>
    <row r="43" spans="1:5">
      <c r="B43" t="s">
        <v>63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&amp;C_x000D_&amp;1#&amp;"Aptos"&amp;4&amp;K000000 Public - Diffusion autorisée sans restriction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51"/>
  <sheetViews>
    <sheetView showGridLines="0" tabSelected="1" zoomScaleNormal="100" workbookViewId="0">
      <pane ySplit="2" topLeftCell="A118" activePane="bottomLeft" state="frozen"/>
      <selection pane="bottomLeft" activeCell="D73" sqref="D73"/>
    </sheetView>
  </sheetViews>
  <sheetFormatPr defaultColWidth="8.7109375" defaultRowHeight="15"/>
  <cols>
    <col min="1" max="1" width="5" style="79" customWidth="1"/>
    <col min="2" max="2" width="22" style="79" customWidth="1"/>
    <col min="3" max="3" width="20" style="79" customWidth="1"/>
    <col min="4" max="4" width="21.28515625" style="79" customWidth="1"/>
    <col min="5" max="5" width="16" style="79" customWidth="1"/>
    <col min="6" max="6" width="25" style="79" customWidth="1"/>
    <col min="7" max="7" width="16" style="79" customWidth="1"/>
    <col min="8" max="8" width="13" style="79" customWidth="1"/>
    <col min="9" max="9" width="16" style="79" customWidth="1"/>
    <col min="10" max="11" width="30" style="79" customWidth="1"/>
    <col min="12" max="12" width="13" style="79" customWidth="1"/>
    <col min="13" max="13" width="28" style="79" customWidth="1"/>
    <col min="14" max="14" width="12" style="79" customWidth="1"/>
    <col min="15" max="15" width="35" style="79" customWidth="1"/>
    <col min="16" max="16" width="16.85546875" customWidth="1"/>
    <col min="17" max="17" width="15.85546875" customWidth="1"/>
    <col min="18" max="18" width="14.5703125" customWidth="1"/>
    <col min="19" max="19" width="18.28515625" customWidth="1"/>
    <col min="20" max="20" width="16.7109375" customWidth="1"/>
  </cols>
  <sheetData>
    <row r="1" spans="1:26" ht="31.5" customHeight="1">
      <c r="A1" s="149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1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</row>
    <row r="2" spans="1:26" ht="36" customHeight="1">
      <c r="A2" s="80" t="s">
        <v>64</v>
      </c>
      <c r="B2" s="81" t="s">
        <v>65</v>
      </c>
      <c r="C2" s="81" t="s">
        <v>66</v>
      </c>
      <c r="D2" s="81" t="s">
        <v>67</v>
      </c>
      <c r="E2" s="81" t="s">
        <v>68</v>
      </c>
      <c r="F2" s="81" t="s">
        <v>69</v>
      </c>
      <c r="G2" s="82" t="s">
        <v>70</v>
      </c>
      <c r="H2" s="82" t="s">
        <v>71</v>
      </c>
      <c r="I2" s="83" t="s">
        <v>72</v>
      </c>
      <c r="J2" s="84" t="s">
        <v>73</v>
      </c>
      <c r="K2" s="84" t="s">
        <v>74</v>
      </c>
      <c r="L2" s="85" t="s">
        <v>75</v>
      </c>
      <c r="M2" s="86" t="s">
        <v>76</v>
      </c>
      <c r="N2" s="86" t="s">
        <v>77</v>
      </c>
      <c r="O2" s="87" t="s">
        <v>78</v>
      </c>
      <c r="P2" s="74" t="s">
        <v>79</v>
      </c>
      <c r="Q2" s="74" t="s">
        <v>80</v>
      </c>
      <c r="R2" s="74" t="s">
        <v>81</v>
      </c>
      <c r="S2" s="74" t="s">
        <v>81</v>
      </c>
      <c r="T2" s="75" t="s">
        <v>82</v>
      </c>
    </row>
    <row r="3" spans="1:26" ht="21.75" customHeight="1">
      <c r="A3" s="89">
        <v>1</v>
      </c>
      <c r="B3" s="90" t="s">
        <v>83</v>
      </c>
      <c r="C3" s="91" t="s">
        <v>84</v>
      </c>
      <c r="D3" s="91" t="s">
        <v>85</v>
      </c>
      <c r="E3" s="92" t="s">
        <v>86</v>
      </c>
      <c r="F3" s="92" t="s">
        <v>87</v>
      </c>
      <c r="G3" s="92" t="s">
        <v>88</v>
      </c>
      <c r="H3" s="93" t="s">
        <v>89</v>
      </c>
      <c r="I3" s="94" t="s">
        <v>44</v>
      </c>
      <c r="J3" s="92" t="s">
        <v>90</v>
      </c>
      <c r="K3" s="92" t="s">
        <v>91</v>
      </c>
      <c r="L3" s="95" t="s">
        <v>92</v>
      </c>
      <c r="M3" s="92" t="s">
        <v>93</v>
      </c>
      <c r="N3" s="96">
        <v>800</v>
      </c>
      <c r="O3" s="97" t="s">
        <v>94</v>
      </c>
      <c r="P3" s="97"/>
      <c r="Q3" s="97"/>
      <c r="R3" s="97"/>
      <c r="S3" s="97"/>
      <c r="T3" s="97" t="s">
        <v>95</v>
      </c>
      <c r="U3" s="76"/>
      <c r="V3" s="76"/>
      <c r="W3" s="76"/>
      <c r="X3" s="76"/>
      <c r="Y3" s="77"/>
    </row>
    <row r="4" spans="1:26" ht="21.75" customHeight="1">
      <c r="A4" s="98">
        <v>2</v>
      </c>
      <c r="B4" s="99" t="s">
        <v>96</v>
      </c>
      <c r="C4" s="100" t="s">
        <v>97</v>
      </c>
      <c r="D4" s="100" t="s">
        <v>98</v>
      </c>
      <c r="E4" s="101" t="s">
        <v>99</v>
      </c>
      <c r="F4" s="101" t="s">
        <v>100</v>
      </c>
      <c r="G4" s="101" t="s">
        <v>101</v>
      </c>
      <c r="H4" s="102" t="s">
        <v>102</v>
      </c>
      <c r="I4" s="103" t="s">
        <v>48</v>
      </c>
      <c r="J4" s="101" t="s">
        <v>103</v>
      </c>
      <c r="K4" s="101" t="s">
        <v>104</v>
      </c>
      <c r="L4" s="104" t="s">
        <v>105</v>
      </c>
      <c r="M4" s="101" t="s">
        <v>106</v>
      </c>
      <c r="N4" s="105">
        <v>1200</v>
      </c>
      <c r="O4" s="106" t="s">
        <v>107</v>
      </c>
      <c r="P4" s="106"/>
      <c r="Q4" s="106"/>
      <c r="R4" s="106"/>
      <c r="S4" s="106"/>
      <c r="T4" s="106" t="s">
        <v>95</v>
      </c>
      <c r="Y4" s="78"/>
    </row>
    <row r="5" spans="1:26" ht="21.75" customHeight="1">
      <c r="A5" s="89">
        <v>3</v>
      </c>
      <c r="B5" s="90" t="s">
        <v>108</v>
      </c>
      <c r="C5" s="91" t="s">
        <v>109</v>
      </c>
      <c r="D5" s="91" t="s">
        <v>110</v>
      </c>
      <c r="E5" s="92" t="s">
        <v>111</v>
      </c>
      <c r="F5" s="92" t="s">
        <v>112</v>
      </c>
      <c r="G5" s="92" t="s">
        <v>113</v>
      </c>
      <c r="H5" s="93" t="s">
        <v>114</v>
      </c>
      <c r="I5" s="107" t="s">
        <v>52</v>
      </c>
      <c r="J5" s="92" t="s">
        <v>115</v>
      </c>
      <c r="K5" s="92" t="s">
        <v>116</v>
      </c>
      <c r="L5" s="89"/>
      <c r="M5" s="92" t="s">
        <v>117</v>
      </c>
      <c r="N5" s="96">
        <v>1500</v>
      </c>
      <c r="O5" s="97" t="s">
        <v>118</v>
      </c>
      <c r="P5" s="97"/>
      <c r="Q5" s="97"/>
      <c r="R5" s="97"/>
      <c r="S5" s="97"/>
      <c r="T5" s="97" t="s">
        <v>95</v>
      </c>
      <c r="Y5" s="78"/>
    </row>
    <row r="6" spans="1:26" ht="21.75" customHeight="1">
      <c r="A6" s="98">
        <v>4</v>
      </c>
      <c r="B6" s="99" t="s">
        <v>119</v>
      </c>
      <c r="C6" s="100" t="s">
        <v>120</v>
      </c>
      <c r="D6" s="100" t="s">
        <v>121</v>
      </c>
      <c r="E6" s="101" t="s">
        <v>122</v>
      </c>
      <c r="F6" s="101"/>
      <c r="G6" s="101" t="s">
        <v>123</v>
      </c>
      <c r="H6" s="102" t="s">
        <v>124</v>
      </c>
      <c r="I6" s="108" t="s">
        <v>46</v>
      </c>
      <c r="J6" s="101" t="s">
        <v>125</v>
      </c>
      <c r="K6" s="101" t="s">
        <v>126</v>
      </c>
      <c r="L6" s="104" t="s">
        <v>127</v>
      </c>
      <c r="M6" s="101" t="s">
        <v>128</v>
      </c>
      <c r="N6" s="105">
        <v>600</v>
      </c>
      <c r="O6" s="106" t="s">
        <v>129</v>
      </c>
      <c r="P6" s="106"/>
      <c r="Q6" s="106"/>
      <c r="R6" s="106"/>
      <c r="S6" s="106"/>
      <c r="T6" s="106" t="s">
        <v>95</v>
      </c>
      <c r="Y6" s="78"/>
    </row>
    <row r="7" spans="1:26" ht="21.75" customHeight="1">
      <c r="A7" s="89">
        <v>5</v>
      </c>
      <c r="B7" s="90" t="s">
        <v>130</v>
      </c>
      <c r="C7" s="91" t="s">
        <v>131</v>
      </c>
      <c r="D7" s="91" t="s">
        <v>132</v>
      </c>
      <c r="E7" s="92" t="s">
        <v>133</v>
      </c>
      <c r="F7" s="92" t="s">
        <v>134</v>
      </c>
      <c r="G7" s="92" t="s">
        <v>88</v>
      </c>
      <c r="H7" s="93" t="s">
        <v>135</v>
      </c>
      <c r="I7" s="109" t="s">
        <v>42</v>
      </c>
      <c r="J7" s="92"/>
      <c r="K7" s="92" t="s">
        <v>136</v>
      </c>
      <c r="L7" s="95" t="s">
        <v>105</v>
      </c>
      <c r="M7" s="92" t="s">
        <v>137</v>
      </c>
      <c r="N7" s="96">
        <v>500</v>
      </c>
      <c r="O7" s="97" t="s">
        <v>138</v>
      </c>
      <c r="P7" s="97"/>
      <c r="Q7" s="97"/>
      <c r="R7" s="97"/>
      <c r="S7" s="97"/>
      <c r="T7" s="97" t="s">
        <v>95</v>
      </c>
      <c r="Y7" s="78"/>
    </row>
    <row r="8" spans="1:26" ht="21.75" customHeight="1">
      <c r="A8" s="98">
        <v>6</v>
      </c>
      <c r="B8" s="99" t="s">
        <v>139</v>
      </c>
      <c r="C8" s="100" t="s">
        <v>140</v>
      </c>
      <c r="D8" s="100" t="s">
        <v>141</v>
      </c>
      <c r="E8" s="101" t="s">
        <v>142</v>
      </c>
      <c r="F8" s="101" t="s">
        <v>143</v>
      </c>
      <c r="G8" s="101" t="s">
        <v>113</v>
      </c>
      <c r="H8" s="102" t="s">
        <v>144</v>
      </c>
      <c r="I8" s="94" t="s">
        <v>44</v>
      </c>
      <c r="J8" s="101" t="s">
        <v>145</v>
      </c>
      <c r="K8" s="101" t="s">
        <v>146</v>
      </c>
      <c r="L8" s="104" t="s">
        <v>147</v>
      </c>
      <c r="M8" s="101" t="s">
        <v>148</v>
      </c>
      <c r="N8" s="105">
        <v>2000</v>
      </c>
      <c r="O8" s="106" t="s">
        <v>149</v>
      </c>
      <c r="P8" s="106"/>
      <c r="Q8" s="106"/>
      <c r="R8" s="106"/>
      <c r="S8" s="106"/>
      <c r="T8" s="106" t="s">
        <v>95</v>
      </c>
      <c r="Y8" s="78"/>
    </row>
    <row r="9" spans="1:26" ht="21.75" customHeight="1">
      <c r="A9" s="98">
        <v>7</v>
      </c>
      <c r="B9" s="99" t="s">
        <v>150</v>
      </c>
      <c r="C9" s="100" t="s">
        <v>151</v>
      </c>
      <c r="D9" s="100" t="s">
        <v>152</v>
      </c>
      <c r="E9" s="101">
        <v>90062593</v>
      </c>
      <c r="F9" s="101" t="s">
        <v>153</v>
      </c>
      <c r="G9" s="101" t="s">
        <v>154</v>
      </c>
      <c r="H9" s="110">
        <v>46283</v>
      </c>
      <c r="I9" s="94" t="s">
        <v>44</v>
      </c>
      <c r="J9" s="101" t="s">
        <v>155</v>
      </c>
      <c r="K9" s="101" t="s">
        <v>156</v>
      </c>
      <c r="L9" s="111">
        <v>46267</v>
      </c>
      <c r="M9" s="101" t="s">
        <v>128</v>
      </c>
      <c r="N9" s="105" t="s">
        <v>153</v>
      </c>
      <c r="O9" s="106" t="s">
        <v>157</v>
      </c>
      <c r="P9" s="106" t="s">
        <v>153</v>
      </c>
      <c r="Q9" s="106" t="s">
        <v>158</v>
      </c>
      <c r="R9" s="106" t="s">
        <v>153</v>
      </c>
      <c r="S9" s="106" t="s">
        <v>153</v>
      </c>
      <c r="T9" s="106" t="s">
        <v>159</v>
      </c>
      <c r="Y9" s="78"/>
    </row>
    <row r="10" spans="1:26" ht="21.75" customHeight="1">
      <c r="A10" s="98">
        <v>8</v>
      </c>
      <c r="B10" s="99" t="s">
        <v>160</v>
      </c>
      <c r="C10" s="100" t="s">
        <v>161</v>
      </c>
      <c r="D10" s="100" t="s">
        <v>162</v>
      </c>
      <c r="E10" s="101">
        <v>77777976</v>
      </c>
      <c r="F10" s="101" t="s">
        <v>153</v>
      </c>
      <c r="G10" s="101" t="s">
        <v>163</v>
      </c>
      <c r="H10" s="102" t="s">
        <v>164</v>
      </c>
      <c r="I10" s="94" t="s">
        <v>44</v>
      </c>
      <c r="J10" s="101" t="s">
        <v>155</v>
      </c>
      <c r="K10" s="101" t="s">
        <v>156</v>
      </c>
      <c r="L10" s="111">
        <v>46290</v>
      </c>
      <c r="M10" s="101" t="s">
        <v>128</v>
      </c>
      <c r="N10" s="105" t="s">
        <v>153</v>
      </c>
      <c r="O10" s="106" t="s">
        <v>165</v>
      </c>
      <c r="P10" s="106" t="s">
        <v>153</v>
      </c>
      <c r="Q10" s="106" t="s">
        <v>158</v>
      </c>
      <c r="R10" s="106" t="s">
        <v>153</v>
      </c>
      <c r="S10" s="106" t="s">
        <v>153</v>
      </c>
      <c r="T10" s="106" t="s">
        <v>159</v>
      </c>
      <c r="Y10" s="78"/>
    </row>
    <row r="11" spans="1:26" ht="21.75" customHeight="1">
      <c r="A11" s="98">
        <v>9</v>
      </c>
      <c r="B11" s="99" t="s">
        <v>166</v>
      </c>
      <c r="C11" s="100" t="s">
        <v>153</v>
      </c>
      <c r="D11" s="100" t="s">
        <v>153</v>
      </c>
      <c r="E11" s="101">
        <v>91505904</v>
      </c>
      <c r="F11" s="101" t="s">
        <v>153</v>
      </c>
      <c r="G11" s="101" t="s">
        <v>167</v>
      </c>
      <c r="H11" s="110">
        <v>46286</v>
      </c>
      <c r="I11" s="94" t="s">
        <v>44</v>
      </c>
      <c r="J11" s="101" t="s">
        <v>155</v>
      </c>
      <c r="K11" s="101" t="s">
        <v>156</v>
      </c>
      <c r="L11" s="111">
        <v>46290</v>
      </c>
      <c r="M11" s="101" t="s">
        <v>128</v>
      </c>
      <c r="N11" s="105" t="s">
        <v>153</v>
      </c>
      <c r="O11" s="106" t="s">
        <v>165</v>
      </c>
      <c r="P11" s="106" t="s">
        <v>153</v>
      </c>
      <c r="Q11" s="106" t="s">
        <v>158</v>
      </c>
      <c r="R11" s="106" t="s">
        <v>153</v>
      </c>
      <c r="S11" s="106" t="s">
        <v>153</v>
      </c>
      <c r="T11" s="106" t="s">
        <v>159</v>
      </c>
      <c r="Y11" s="78"/>
    </row>
    <row r="12" spans="1:26" ht="21.75" customHeight="1">
      <c r="A12" s="98">
        <v>10</v>
      </c>
      <c r="B12" s="99" t="s">
        <v>168</v>
      </c>
      <c r="C12" s="100"/>
      <c r="D12" s="100"/>
      <c r="E12" s="101">
        <v>76359999</v>
      </c>
      <c r="F12" s="101" t="s">
        <v>153</v>
      </c>
      <c r="G12" s="101" t="s">
        <v>169</v>
      </c>
      <c r="H12" s="110">
        <v>46286</v>
      </c>
      <c r="I12" s="94" t="s">
        <v>44</v>
      </c>
      <c r="J12" s="101" t="s">
        <v>170</v>
      </c>
      <c r="K12" s="101" t="s">
        <v>171</v>
      </c>
      <c r="L12" s="111">
        <v>46296</v>
      </c>
      <c r="M12" s="101" t="s">
        <v>128</v>
      </c>
      <c r="N12" s="105" t="s">
        <v>153</v>
      </c>
      <c r="O12" s="106" t="s">
        <v>172</v>
      </c>
      <c r="P12" s="106" t="s">
        <v>153</v>
      </c>
      <c r="Q12" s="106" t="s">
        <v>158</v>
      </c>
      <c r="R12" s="106" t="s">
        <v>153</v>
      </c>
      <c r="S12" s="106" t="s">
        <v>153</v>
      </c>
      <c r="T12" s="106" t="s">
        <v>159</v>
      </c>
      <c r="Y12" s="78"/>
    </row>
    <row r="13" spans="1:26" ht="21.75" customHeight="1">
      <c r="A13" s="98">
        <v>11</v>
      </c>
      <c r="B13" s="99" t="s">
        <v>173</v>
      </c>
      <c r="C13" s="100" t="s">
        <v>174</v>
      </c>
      <c r="D13" s="100" t="s">
        <v>175</v>
      </c>
      <c r="E13" s="101">
        <v>74400000</v>
      </c>
      <c r="F13" s="101" t="s">
        <v>153</v>
      </c>
      <c r="G13" s="101" t="s">
        <v>169</v>
      </c>
      <c r="H13" s="110">
        <v>46286</v>
      </c>
      <c r="I13" s="94" t="s">
        <v>50</v>
      </c>
      <c r="J13" s="101" t="s">
        <v>176</v>
      </c>
      <c r="K13" s="101" t="s">
        <v>171</v>
      </c>
      <c r="L13" s="104" t="s">
        <v>177</v>
      </c>
      <c r="M13" s="101" t="s">
        <v>128</v>
      </c>
      <c r="N13" s="105" t="s">
        <v>153</v>
      </c>
      <c r="O13" s="106" t="s">
        <v>178</v>
      </c>
      <c r="P13" s="106" t="s">
        <v>153</v>
      </c>
      <c r="Q13" s="106" t="s">
        <v>158</v>
      </c>
      <c r="R13" s="106" t="s">
        <v>153</v>
      </c>
      <c r="S13" s="106" t="s">
        <v>153</v>
      </c>
      <c r="T13" s="106" t="s">
        <v>159</v>
      </c>
      <c r="Y13" s="78"/>
    </row>
    <row r="14" spans="1:26" ht="21.75" customHeight="1">
      <c r="A14" s="98">
        <v>12</v>
      </c>
      <c r="B14" s="99" t="s">
        <v>179</v>
      </c>
      <c r="C14" s="100" t="s">
        <v>180</v>
      </c>
      <c r="D14" s="100" t="s">
        <v>162</v>
      </c>
      <c r="E14" s="101">
        <v>77122121</v>
      </c>
      <c r="F14" s="101" t="s">
        <v>153</v>
      </c>
      <c r="G14" s="101" t="s">
        <v>163</v>
      </c>
      <c r="H14" s="110">
        <v>46286</v>
      </c>
      <c r="I14" s="94" t="s">
        <v>44</v>
      </c>
      <c r="J14" s="101" t="s">
        <v>155</v>
      </c>
      <c r="K14" s="101" t="s">
        <v>156</v>
      </c>
      <c r="L14" s="111">
        <v>46290</v>
      </c>
      <c r="M14" s="101" t="s">
        <v>128</v>
      </c>
      <c r="N14" s="105" t="s">
        <v>153</v>
      </c>
      <c r="O14" s="106" t="s">
        <v>165</v>
      </c>
      <c r="P14" s="106" t="s">
        <v>153</v>
      </c>
      <c r="Q14" s="106" t="s">
        <v>181</v>
      </c>
      <c r="R14" s="106" t="s">
        <v>153</v>
      </c>
      <c r="S14" s="106" t="s">
        <v>153</v>
      </c>
      <c r="T14" s="106" t="s">
        <v>159</v>
      </c>
      <c r="Y14" s="78"/>
    </row>
    <row r="15" spans="1:26" ht="21.75" customHeight="1">
      <c r="A15" s="98">
        <v>13</v>
      </c>
      <c r="B15" s="99" t="s">
        <v>182</v>
      </c>
      <c r="C15" s="100"/>
      <c r="D15" s="100" t="s">
        <v>183</v>
      </c>
      <c r="E15" s="101">
        <v>78638619</v>
      </c>
      <c r="F15" s="101" t="s">
        <v>153</v>
      </c>
      <c r="G15" s="101" t="s">
        <v>167</v>
      </c>
      <c r="H15" s="110">
        <v>46286</v>
      </c>
      <c r="I15" s="94" t="s">
        <v>50</v>
      </c>
      <c r="J15" s="101" t="s">
        <v>184</v>
      </c>
      <c r="K15" s="101" t="s">
        <v>156</v>
      </c>
      <c r="L15" s="111">
        <v>46304</v>
      </c>
      <c r="M15" s="101" t="s">
        <v>185</v>
      </c>
      <c r="N15" s="105"/>
      <c r="O15" s="106"/>
      <c r="P15" s="106"/>
      <c r="Q15" s="106"/>
      <c r="R15" s="106"/>
      <c r="S15" s="106"/>
      <c r="T15" s="106" t="s">
        <v>159</v>
      </c>
      <c r="Y15" s="78"/>
    </row>
    <row r="16" spans="1:26" ht="21.75" customHeight="1">
      <c r="A16" s="98">
        <v>14</v>
      </c>
      <c r="B16" s="99" t="s">
        <v>186</v>
      </c>
      <c r="C16" s="100"/>
      <c r="D16" s="100"/>
      <c r="E16" s="101">
        <v>79485554</v>
      </c>
      <c r="F16" s="101" t="s">
        <v>153</v>
      </c>
      <c r="G16" s="101" t="s">
        <v>169</v>
      </c>
      <c r="H16" s="110">
        <v>46286</v>
      </c>
      <c r="I16" s="94" t="s">
        <v>42</v>
      </c>
      <c r="J16" s="101"/>
      <c r="K16" s="101"/>
      <c r="L16" s="104"/>
      <c r="M16" s="101"/>
      <c r="N16" s="105"/>
      <c r="O16" s="106"/>
      <c r="P16" s="106"/>
      <c r="Q16" s="106"/>
      <c r="R16" s="106"/>
      <c r="S16" s="106"/>
      <c r="T16" s="106" t="s">
        <v>159</v>
      </c>
      <c r="Y16" s="78"/>
    </row>
    <row r="17" spans="1:25" ht="21.75" customHeight="1">
      <c r="A17" s="98">
        <v>15</v>
      </c>
      <c r="B17" s="99" t="s">
        <v>187</v>
      </c>
      <c r="C17" s="100" t="s">
        <v>188</v>
      </c>
      <c r="D17" s="100" t="s">
        <v>141</v>
      </c>
      <c r="E17" s="101">
        <v>90278480</v>
      </c>
      <c r="F17" s="101" t="s">
        <v>153</v>
      </c>
      <c r="G17" s="101" t="s">
        <v>163</v>
      </c>
      <c r="H17" s="110">
        <v>46286</v>
      </c>
      <c r="I17" s="94" t="s">
        <v>50</v>
      </c>
      <c r="J17" s="101" t="s">
        <v>189</v>
      </c>
      <c r="K17" s="101" t="s">
        <v>184</v>
      </c>
      <c r="L17" s="111">
        <v>46307</v>
      </c>
      <c r="M17" s="101" t="s">
        <v>128</v>
      </c>
      <c r="N17" s="105" t="s">
        <v>153</v>
      </c>
      <c r="O17" s="106" t="s">
        <v>165</v>
      </c>
      <c r="P17" s="106" t="s">
        <v>153</v>
      </c>
      <c r="Q17" s="106" t="s">
        <v>181</v>
      </c>
      <c r="R17" s="106" t="s">
        <v>153</v>
      </c>
      <c r="S17" s="106" t="s">
        <v>153</v>
      </c>
      <c r="T17" s="106" t="s">
        <v>159</v>
      </c>
      <c r="Y17" s="78"/>
    </row>
    <row r="18" spans="1:25" ht="21.75" customHeight="1">
      <c r="A18" s="98">
        <v>16</v>
      </c>
      <c r="B18" s="99" t="s">
        <v>190</v>
      </c>
      <c r="C18" s="100"/>
      <c r="D18" s="100"/>
      <c r="E18" s="101">
        <v>20219296</v>
      </c>
      <c r="F18" s="101" t="s">
        <v>153</v>
      </c>
      <c r="G18" s="101" t="s">
        <v>167</v>
      </c>
      <c r="H18" s="110">
        <v>46286</v>
      </c>
      <c r="I18" s="94" t="s">
        <v>42</v>
      </c>
      <c r="J18" s="101"/>
      <c r="K18" s="101"/>
      <c r="L18" s="111"/>
      <c r="M18" s="101"/>
      <c r="N18" s="105"/>
      <c r="O18" s="106"/>
      <c r="P18" s="106"/>
      <c r="Q18" s="106"/>
      <c r="R18" s="106"/>
      <c r="S18" s="106"/>
      <c r="T18" s="106" t="s">
        <v>159</v>
      </c>
      <c r="Y18" s="78"/>
    </row>
    <row r="19" spans="1:25" ht="21.75" customHeight="1">
      <c r="A19" s="98">
        <v>17</v>
      </c>
      <c r="B19" s="99" t="s">
        <v>191</v>
      </c>
      <c r="C19" s="100"/>
      <c r="D19" s="100"/>
      <c r="E19" s="101">
        <v>71022937</v>
      </c>
      <c r="F19" s="101" t="s">
        <v>153</v>
      </c>
      <c r="G19" s="101" t="s">
        <v>167</v>
      </c>
      <c r="H19" s="110">
        <v>46286</v>
      </c>
      <c r="I19" s="94" t="s">
        <v>42</v>
      </c>
      <c r="J19" s="101"/>
      <c r="K19" s="101"/>
      <c r="L19" s="104"/>
      <c r="M19" s="101"/>
      <c r="N19" s="105"/>
      <c r="O19" s="106"/>
      <c r="P19" s="106"/>
      <c r="Q19" s="106"/>
      <c r="R19" s="106"/>
      <c r="S19" s="106"/>
      <c r="T19" s="106" t="s">
        <v>159</v>
      </c>
      <c r="Y19" s="78"/>
    </row>
    <row r="20" spans="1:25" ht="21.75" customHeight="1">
      <c r="A20" s="98">
        <v>18</v>
      </c>
      <c r="B20" s="99" t="s">
        <v>192</v>
      </c>
      <c r="C20" s="100"/>
      <c r="D20" s="100"/>
      <c r="E20" s="101">
        <v>78785757</v>
      </c>
      <c r="F20" s="101" t="s">
        <v>153</v>
      </c>
      <c r="G20" s="101" t="s">
        <v>167</v>
      </c>
      <c r="H20" s="110">
        <v>46286</v>
      </c>
      <c r="I20" s="94" t="s">
        <v>42</v>
      </c>
      <c r="J20" s="101"/>
      <c r="K20" s="101"/>
      <c r="L20" s="104"/>
      <c r="M20" s="101"/>
      <c r="N20" s="105"/>
      <c r="O20" s="106"/>
      <c r="P20" s="106"/>
      <c r="Q20" s="106"/>
      <c r="R20" s="106"/>
      <c r="S20" s="106"/>
      <c r="T20" s="106" t="s">
        <v>159</v>
      </c>
      <c r="Y20" s="78"/>
    </row>
    <row r="21" spans="1:25" ht="21.75" customHeight="1">
      <c r="A21" s="98">
        <v>19</v>
      </c>
      <c r="B21" s="99" t="s">
        <v>193</v>
      </c>
      <c r="C21" s="100" t="s">
        <v>194</v>
      </c>
      <c r="D21" s="100" t="s">
        <v>141</v>
      </c>
      <c r="E21" s="101">
        <v>76558655</v>
      </c>
      <c r="F21" s="112" t="s">
        <v>195</v>
      </c>
      <c r="G21" s="101" t="s">
        <v>169</v>
      </c>
      <c r="H21" s="110">
        <v>46286</v>
      </c>
      <c r="I21" s="94" t="s">
        <v>44</v>
      </c>
      <c r="J21" s="101"/>
      <c r="K21" s="101"/>
      <c r="L21" s="104"/>
      <c r="M21" s="101"/>
      <c r="N21" s="105"/>
      <c r="O21" s="106"/>
      <c r="P21" s="106"/>
      <c r="Q21" s="106"/>
      <c r="R21" s="106"/>
      <c r="S21" s="106"/>
      <c r="T21" s="106" t="s">
        <v>159</v>
      </c>
      <c r="Y21" s="78"/>
    </row>
    <row r="22" spans="1:25" ht="21.75" customHeight="1">
      <c r="A22" s="98">
        <v>20</v>
      </c>
      <c r="B22" s="99" t="s">
        <v>196</v>
      </c>
      <c r="C22" s="100"/>
      <c r="D22" s="100"/>
      <c r="E22" s="101">
        <v>20232440</v>
      </c>
      <c r="F22" s="112" t="s">
        <v>197</v>
      </c>
      <c r="G22" s="101" t="s">
        <v>169</v>
      </c>
      <c r="H22" s="110">
        <v>46286</v>
      </c>
      <c r="I22" s="94" t="s">
        <v>42</v>
      </c>
      <c r="J22" s="101"/>
      <c r="K22" s="101"/>
      <c r="L22" s="104"/>
      <c r="M22" s="101"/>
      <c r="N22" s="105"/>
      <c r="O22" s="106"/>
      <c r="P22" s="106"/>
      <c r="Q22" s="106"/>
      <c r="R22" s="106"/>
      <c r="S22" s="106"/>
      <c r="T22" s="106" t="s">
        <v>159</v>
      </c>
      <c r="Y22" s="78"/>
    </row>
    <row r="23" spans="1:25" ht="21.75" customHeight="1">
      <c r="A23" s="98">
        <v>21</v>
      </c>
      <c r="B23" s="99" t="s">
        <v>198</v>
      </c>
      <c r="C23" s="100" t="s">
        <v>199</v>
      </c>
      <c r="D23" s="100" t="s">
        <v>175</v>
      </c>
      <c r="E23" s="101">
        <v>76636120</v>
      </c>
      <c r="F23" s="101" t="s">
        <v>153</v>
      </c>
      <c r="G23" s="101" t="s">
        <v>169</v>
      </c>
      <c r="H23" s="110">
        <v>46286</v>
      </c>
      <c r="I23" s="94" t="s">
        <v>44</v>
      </c>
      <c r="J23" s="101" t="s">
        <v>176</v>
      </c>
      <c r="K23" s="101" t="s">
        <v>200</v>
      </c>
      <c r="L23" s="111">
        <v>46293</v>
      </c>
      <c r="M23" s="101" t="s">
        <v>128</v>
      </c>
      <c r="N23" s="105" t="s">
        <v>153</v>
      </c>
      <c r="O23" s="106" t="s">
        <v>178</v>
      </c>
      <c r="P23" s="106" t="s">
        <v>153</v>
      </c>
      <c r="Q23" s="106" t="s">
        <v>153</v>
      </c>
      <c r="R23" s="106" t="s">
        <v>153</v>
      </c>
      <c r="S23" s="106" t="s">
        <v>153</v>
      </c>
      <c r="T23" t="s">
        <v>159</v>
      </c>
      <c r="Y23" s="78"/>
    </row>
    <row r="24" spans="1:25" ht="21.75" customHeight="1">
      <c r="A24" s="98">
        <v>22</v>
      </c>
      <c r="B24" s="99" t="s">
        <v>201</v>
      </c>
      <c r="C24" s="100" t="s">
        <v>202</v>
      </c>
      <c r="D24" s="100"/>
      <c r="E24" s="101">
        <v>79524044</v>
      </c>
      <c r="F24" s="101" t="s">
        <v>153</v>
      </c>
      <c r="G24" s="101" t="s">
        <v>101</v>
      </c>
      <c r="H24" s="110">
        <v>46288</v>
      </c>
      <c r="I24" s="94" t="s">
        <v>42</v>
      </c>
      <c r="J24" s="101"/>
      <c r="K24" s="101"/>
      <c r="L24" s="104"/>
      <c r="M24" s="101"/>
      <c r="N24" s="105"/>
      <c r="O24" s="106"/>
      <c r="P24" s="106"/>
      <c r="Q24" s="106"/>
      <c r="R24" s="106"/>
      <c r="S24" s="106"/>
      <c r="T24" s="106" t="s">
        <v>159</v>
      </c>
      <c r="Y24" s="78"/>
    </row>
    <row r="25" spans="1:25" ht="21.75" customHeight="1">
      <c r="A25" s="98">
        <v>23</v>
      </c>
      <c r="B25" s="99" t="s">
        <v>203</v>
      </c>
      <c r="C25" s="100" t="s">
        <v>204</v>
      </c>
      <c r="D25" s="100"/>
      <c r="E25" s="101">
        <v>83851111</v>
      </c>
      <c r="F25" s="101" t="s">
        <v>153</v>
      </c>
      <c r="G25" s="101" t="s">
        <v>167</v>
      </c>
      <c r="H25" s="110">
        <v>46288</v>
      </c>
      <c r="I25" s="94" t="s">
        <v>44</v>
      </c>
      <c r="J25" s="101" t="s">
        <v>205</v>
      </c>
      <c r="K25" s="101" t="s">
        <v>156</v>
      </c>
      <c r="L25" s="111">
        <v>46267</v>
      </c>
      <c r="M25" s="101"/>
      <c r="N25" s="105"/>
      <c r="O25" s="106"/>
      <c r="P25" s="106"/>
      <c r="Q25" s="106"/>
      <c r="R25" s="106"/>
      <c r="S25" s="106"/>
      <c r="T25" s="106" t="s">
        <v>159</v>
      </c>
      <c r="Y25" s="78"/>
    </row>
    <row r="26" spans="1:25" ht="21.75" customHeight="1">
      <c r="A26" s="98">
        <v>24</v>
      </c>
      <c r="B26" s="99" t="s">
        <v>206</v>
      </c>
      <c r="C26" s="100"/>
      <c r="D26" s="100"/>
      <c r="E26" s="101">
        <v>83270412</v>
      </c>
      <c r="F26" s="101" t="s">
        <v>153</v>
      </c>
      <c r="G26" s="101" t="s">
        <v>169</v>
      </c>
      <c r="H26" s="110">
        <v>46288</v>
      </c>
      <c r="I26" s="94" t="s">
        <v>42</v>
      </c>
      <c r="J26" s="101"/>
      <c r="K26" s="101"/>
      <c r="L26" s="104"/>
      <c r="M26" s="101"/>
      <c r="N26" s="105"/>
      <c r="O26" s="106"/>
      <c r="P26" s="106"/>
      <c r="Q26" s="106"/>
      <c r="R26" s="106"/>
      <c r="S26" s="106"/>
      <c r="T26" s="106" t="s">
        <v>159</v>
      </c>
      <c r="Y26" s="78"/>
    </row>
    <row r="27" spans="1:25" ht="21.75" customHeight="1">
      <c r="A27" s="98">
        <v>25</v>
      </c>
      <c r="B27" s="99" t="s">
        <v>207</v>
      </c>
      <c r="C27" s="100"/>
      <c r="D27" s="100"/>
      <c r="E27" s="101">
        <v>90241111</v>
      </c>
      <c r="F27" s="101" t="s">
        <v>153</v>
      </c>
      <c r="G27" s="101" t="s">
        <v>88</v>
      </c>
      <c r="H27" s="110">
        <v>46288</v>
      </c>
      <c r="I27" s="94" t="s">
        <v>42</v>
      </c>
      <c r="J27" s="101"/>
      <c r="K27" s="101"/>
      <c r="L27" s="104"/>
      <c r="M27" s="101"/>
      <c r="N27" s="105"/>
      <c r="O27" s="106"/>
      <c r="P27" s="106"/>
      <c r="Q27" s="106"/>
      <c r="R27" s="106"/>
      <c r="S27" s="106"/>
      <c r="T27" s="106" t="s">
        <v>159</v>
      </c>
      <c r="Y27" s="78"/>
    </row>
    <row r="28" spans="1:25" ht="21.75" customHeight="1">
      <c r="A28" s="98">
        <v>26</v>
      </c>
      <c r="B28" s="99" t="s">
        <v>208</v>
      </c>
      <c r="C28" s="100"/>
      <c r="D28" s="100"/>
      <c r="E28" s="101">
        <v>91917224</v>
      </c>
      <c r="F28" s="101" t="s">
        <v>153</v>
      </c>
      <c r="G28" s="101" t="s">
        <v>167</v>
      </c>
      <c r="H28" s="110">
        <v>46288</v>
      </c>
      <c r="I28" s="94" t="s">
        <v>42</v>
      </c>
      <c r="J28" s="101"/>
      <c r="K28" s="101"/>
      <c r="L28" s="104"/>
      <c r="M28" s="101"/>
      <c r="N28" s="105"/>
      <c r="O28" s="106"/>
      <c r="P28" s="106"/>
      <c r="Q28" s="106"/>
      <c r="R28" s="106"/>
      <c r="S28" s="106"/>
      <c r="T28" s="106" t="s">
        <v>159</v>
      </c>
      <c r="Y28" s="78"/>
    </row>
    <row r="29" spans="1:25" ht="21.75" customHeight="1">
      <c r="A29" s="98">
        <v>27</v>
      </c>
      <c r="B29" s="99" t="s">
        <v>209</v>
      </c>
      <c r="C29" s="100"/>
      <c r="D29" s="100"/>
      <c r="E29" s="101">
        <v>71223028</v>
      </c>
      <c r="F29" s="101" t="s">
        <v>153</v>
      </c>
      <c r="G29" s="101" t="s">
        <v>167</v>
      </c>
      <c r="H29" s="110">
        <v>46288</v>
      </c>
      <c r="I29" s="94" t="s">
        <v>42</v>
      </c>
      <c r="J29" s="101"/>
      <c r="K29" s="101"/>
      <c r="L29" s="104"/>
      <c r="M29" s="101"/>
      <c r="N29" s="105"/>
      <c r="O29" s="106"/>
      <c r="P29" s="106"/>
      <c r="Q29" s="106"/>
      <c r="R29" s="106"/>
      <c r="S29" s="106"/>
      <c r="T29" s="106" t="s">
        <v>159</v>
      </c>
      <c r="Y29" s="78"/>
    </row>
    <row r="30" spans="1:25" ht="21.75" customHeight="1">
      <c r="A30" s="98">
        <v>28</v>
      </c>
      <c r="B30" s="99" t="s">
        <v>210</v>
      </c>
      <c r="C30" s="100"/>
      <c r="D30" s="100"/>
      <c r="E30" s="101">
        <v>92822109</v>
      </c>
      <c r="F30" s="101" t="s">
        <v>153</v>
      </c>
      <c r="G30" s="101" t="s">
        <v>167</v>
      </c>
      <c r="H30" s="110">
        <v>46288</v>
      </c>
      <c r="I30" s="94" t="s">
        <v>42</v>
      </c>
      <c r="J30" s="101"/>
      <c r="K30" s="101"/>
      <c r="L30" s="104"/>
      <c r="M30" s="101"/>
      <c r="N30" s="105"/>
      <c r="O30" s="106"/>
      <c r="P30" s="106"/>
      <c r="Q30" s="106"/>
      <c r="R30" s="106"/>
      <c r="S30" s="106"/>
      <c r="T30" s="106" t="s">
        <v>159</v>
      </c>
      <c r="Y30" s="78"/>
    </row>
    <row r="31" spans="1:25" ht="21.75" customHeight="1">
      <c r="A31" s="98">
        <v>29</v>
      </c>
      <c r="B31" s="99" t="s">
        <v>211</v>
      </c>
      <c r="C31" s="100"/>
      <c r="D31" s="100"/>
      <c r="E31" s="101">
        <v>92212102</v>
      </c>
      <c r="F31" s="79" t="s">
        <v>153</v>
      </c>
      <c r="G31" s="101" t="s">
        <v>167</v>
      </c>
      <c r="H31" s="110">
        <v>46288</v>
      </c>
      <c r="I31" s="94" t="s">
        <v>42</v>
      </c>
      <c r="J31" s="101"/>
      <c r="K31" s="101"/>
      <c r="L31" s="104"/>
      <c r="M31" s="101"/>
      <c r="N31" s="105"/>
      <c r="O31" s="106"/>
      <c r="P31" s="106"/>
      <c r="Q31" s="106"/>
      <c r="R31" s="106"/>
      <c r="S31" s="106"/>
      <c r="T31" s="106" t="s">
        <v>159</v>
      </c>
      <c r="Y31" s="78"/>
    </row>
    <row r="32" spans="1:25" ht="21.75" customHeight="1">
      <c r="A32" s="98">
        <v>30</v>
      </c>
      <c r="B32" s="99" t="s">
        <v>212</v>
      </c>
      <c r="C32" s="100"/>
      <c r="D32" s="100"/>
      <c r="E32" s="101">
        <v>70372727</v>
      </c>
      <c r="F32" s="101" t="s">
        <v>153</v>
      </c>
      <c r="G32" s="101" t="s">
        <v>167</v>
      </c>
      <c r="H32" s="110">
        <v>46288</v>
      </c>
      <c r="I32" s="94" t="s">
        <v>42</v>
      </c>
      <c r="J32" s="101"/>
      <c r="K32" s="101"/>
      <c r="L32" s="104"/>
      <c r="M32" s="101"/>
      <c r="N32" s="105"/>
      <c r="O32" s="106"/>
      <c r="P32" s="106"/>
      <c r="Q32" s="106"/>
      <c r="R32" s="106"/>
      <c r="S32" s="106"/>
      <c r="T32" s="106" t="s">
        <v>159</v>
      </c>
      <c r="Y32" s="78"/>
    </row>
    <row r="33" spans="1:25" ht="21.75" customHeight="1">
      <c r="A33" s="98">
        <v>31</v>
      </c>
      <c r="B33" s="99" t="s">
        <v>213</v>
      </c>
      <c r="C33" s="100"/>
      <c r="D33" s="100"/>
      <c r="E33" s="101">
        <v>82219854</v>
      </c>
      <c r="F33" s="112" t="s">
        <v>214</v>
      </c>
      <c r="G33" s="101" t="s">
        <v>88</v>
      </c>
      <c r="H33" s="110">
        <v>46288</v>
      </c>
      <c r="I33" s="94" t="s">
        <v>42</v>
      </c>
      <c r="J33" s="101"/>
      <c r="K33" s="101"/>
      <c r="L33" s="104"/>
      <c r="M33" s="101"/>
      <c r="N33" s="105"/>
      <c r="O33" s="106"/>
      <c r="P33" s="106"/>
      <c r="Q33" s="106"/>
      <c r="R33" s="106"/>
      <c r="S33" s="106"/>
      <c r="T33" s="106" t="s">
        <v>159</v>
      </c>
      <c r="Y33" s="78"/>
    </row>
    <row r="34" spans="1:25" ht="21.75" customHeight="1">
      <c r="A34" s="98">
        <v>32</v>
      </c>
      <c r="B34" s="99" t="s">
        <v>215</v>
      </c>
      <c r="C34" s="100"/>
      <c r="D34" s="100"/>
      <c r="E34" s="101">
        <v>94000066</v>
      </c>
      <c r="F34" s="112" t="s">
        <v>216</v>
      </c>
      <c r="G34" s="101" t="s">
        <v>88</v>
      </c>
      <c r="H34" s="110">
        <v>46288</v>
      </c>
      <c r="I34" s="94" t="s">
        <v>42</v>
      </c>
      <c r="J34" s="101"/>
      <c r="K34" s="101"/>
      <c r="L34" s="104"/>
      <c r="M34" s="101"/>
      <c r="N34" s="105"/>
      <c r="O34" s="106"/>
      <c r="P34" s="106"/>
      <c r="Q34" s="106"/>
      <c r="R34" s="106"/>
      <c r="S34" s="106"/>
      <c r="T34" s="106" t="s">
        <v>159</v>
      </c>
      <c r="Y34" s="78"/>
    </row>
    <row r="35" spans="1:25" ht="21.75" customHeight="1">
      <c r="A35" s="98">
        <v>33</v>
      </c>
      <c r="B35" s="99" t="s">
        <v>217</v>
      </c>
      <c r="C35" s="100"/>
      <c r="D35" s="100"/>
      <c r="E35" s="101">
        <v>72008080</v>
      </c>
      <c r="F35" s="112" t="s">
        <v>218</v>
      </c>
      <c r="G35" s="101" t="s">
        <v>88</v>
      </c>
      <c r="H35" s="110">
        <v>46288</v>
      </c>
      <c r="I35" s="94" t="s">
        <v>42</v>
      </c>
      <c r="J35" s="101"/>
      <c r="K35" s="101"/>
      <c r="L35" s="104"/>
      <c r="M35" s="101"/>
      <c r="N35" s="105"/>
      <c r="O35" s="106"/>
      <c r="P35" s="106"/>
      <c r="Q35" s="106"/>
      <c r="R35" s="106"/>
      <c r="S35" s="106"/>
      <c r="T35" s="106" t="s">
        <v>159</v>
      </c>
      <c r="Y35" s="78"/>
    </row>
    <row r="36" spans="1:25">
      <c r="A36" s="98">
        <v>34</v>
      </c>
      <c r="B36" s="99" t="s">
        <v>219</v>
      </c>
      <c r="C36" s="100"/>
      <c r="D36" s="100"/>
      <c r="E36" s="101">
        <v>92662222</v>
      </c>
      <c r="F36" s="101"/>
      <c r="G36" s="101" t="s">
        <v>167</v>
      </c>
      <c r="H36" s="110">
        <v>46288</v>
      </c>
      <c r="I36" s="94" t="s">
        <v>44</v>
      </c>
      <c r="J36" s="101" t="s">
        <v>220</v>
      </c>
      <c r="K36" s="101" t="s">
        <v>200</v>
      </c>
      <c r="L36" s="111">
        <v>46304</v>
      </c>
      <c r="M36" s="101"/>
      <c r="N36" s="105"/>
      <c r="O36" s="106"/>
      <c r="P36" s="106"/>
      <c r="Q36" s="106"/>
      <c r="R36" s="106"/>
      <c r="S36" s="106"/>
      <c r="T36" s="106" t="s">
        <v>159</v>
      </c>
      <c r="Y36" s="78"/>
    </row>
    <row r="37" spans="1:25" ht="21.75" customHeight="1">
      <c r="A37" s="98">
        <v>35</v>
      </c>
      <c r="B37" s="99" t="s">
        <v>221</v>
      </c>
      <c r="C37" s="100"/>
      <c r="D37" s="100"/>
      <c r="E37" s="101">
        <v>74747194</v>
      </c>
      <c r="F37" s="112" t="s">
        <v>222</v>
      </c>
      <c r="G37" s="101" t="s">
        <v>88</v>
      </c>
      <c r="H37" s="110">
        <v>46288</v>
      </c>
      <c r="I37" s="94" t="s">
        <v>42</v>
      </c>
      <c r="J37" s="101"/>
      <c r="K37" s="101"/>
      <c r="L37" s="104"/>
      <c r="M37" s="101"/>
      <c r="N37" s="105"/>
      <c r="O37" s="106"/>
      <c r="P37" s="106"/>
      <c r="Q37" s="106"/>
      <c r="R37" s="106"/>
      <c r="S37" s="106"/>
      <c r="T37" s="106" t="s">
        <v>159</v>
      </c>
      <c r="Y37" s="78"/>
    </row>
    <row r="38" spans="1:25" ht="21.75" customHeight="1">
      <c r="A38" s="113">
        <v>36</v>
      </c>
      <c r="B38" s="114" t="s">
        <v>223</v>
      </c>
      <c r="C38" s="115" t="s">
        <v>224</v>
      </c>
      <c r="D38" s="115" t="s">
        <v>225</v>
      </c>
      <c r="E38" s="116">
        <v>82148282</v>
      </c>
      <c r="F38" s="116" t="s">
        <v>153</v>
      </c>
      <c r="G38" s="116" t="s">
        <v>167</v>
      </c>
      <c r="H38" s="117">
        <v>46288</v>
      </c>
      <c r="I38" s="118" t="s">
        <v>44</v>
      </c>
      <c r="J38" s="116" t="s">
        <v>220</v>
      </c>
      <c r="K38" s="116" t="s">
        <v>156</v>
      </c>
      <c r="L38" s="136"/>
      <c r="M38" s="116"/>
      <c r="N38" s="137"/>
      <c r="O38" s="138"/>
      <c r="P38" s="138"/>
      <c r="Q38" s="138"/>
      <c r="R38" s="138"/>
      <c r="S38" s="138"/>
      <c r="T38" s="138" t="s">
        <v>159</v>
      </c>
      <c r="Y38" s="78"/>
    </row>
    <row r="39" spans="1:25" ht="21.75" customHeight="1">
      <c r="A39" s="119">
        <v>37</v>
      </c>
      <c r="B39" s="120" t="s">
        <v>226</v>
      </c>
      <c r="C39" s="121"/>
      <c r="D39" s="121"/>
      <c r="E39" s="122">
        <v>66728268</v>
      </c>
      <c r="F39" s="139" t="s">
        <v>227</v>
      </c>
      <c r="G39" s="122" t="s">
        <v>101</v>
      </c>
      <c r="H39" s="140">
        <v>46293</v>
      </c>
      <c r="I39" s="124" t="s">
        <v>44</v>
      </c>
      <c r="J39" s="122" t="s">
        <v>170</v>
      </c>
      <c r="K39" s="122" t="s">
        <v>156</v>
      </c>
      <c r="L39" s="147">
        <v>46300</v>
      </c>
      <c r="M39" s="122"/>
      <c r="N39" s="130"/>
      <c r="O39" s="131"/>
      <c r="P39" s="131"/>
      <c r="Q39" s="131"/>
      <c r="R39" s="131"/>
      <c r="S39" s="131"/>
      <c r="T39" s="131" t="s">
        <v>159</v>
      </c>
      <c r="Y39" s="78"/>
    </row>
    <row r="40" spans="1:25" ht="21.75" customHeight="1">
      <c r="A40" s="119">
        <v>38</v>
      </c>
      <c r="B40" s="120" t="s">
        <v>228</v>
      </c>
      <c r="C40" s="121"/>
      <c r="D40" s="121"/>
      <c r="E40" s="122">
        <v>71704883</v>
      </c>
      <c r="F40" s="139" t="s">
        <v>229</v>
      </c>
      <c r="G40" s="122" t="s">
        <v>167</v>
      </c>
      <c r="H40" s="123">
        <v>46293</v>
      </c>
      <c r="I40" s="124" t="s">
        <v>42</v>
      </c>
      <c r="J40" s="122"/>
      <c r="K40" s="122"/>
      <c r="L40" s="129"/>
      <c r="M40" s="122"/>
      <c r="N40" s="130"/>
      <c r="O40" s="131"/>
      <c r="P40" s="131"/>
      <c r="Q40" s="131"/>
      <c r="R40" s="131"/>
      <c r="S40" s="131"/>
      <c r="T40" s="131" t="s">
        <v>159</v>
      </c>
      <c r="Y40" s="78"/>
    </row>
    <row r="41" spans="1:25" ht="21.75" customHeight="1">
      <c r="A41" s="119">
        <v>39</v>
      </c>
      <c r="B41" s="120" t="s">
        <v>230</v>
      </c>
      <c r="C41" s="121"/>
      <c r="D41" s="121"/>
      <c r="E41" s="122">
        <v>76212832</v>
      </c>
      <c r="F41" s="133" t="s">
        <v>153</v>
      </c>
      <c r="G41" s="122" t="s">
        <v>101</v>
      </c>
      <c r="H41" s="123">
        <v>46293</v>
      </c>
      <c r="I41" s="124" t="s">
        <v>44</v>
      </c>
      <c r="J41" s="122" t="s">
        <v>170</v>
      </c>
      <c r="K41" s="122" t="s">
        <v>200</v>
      </c>
      <c r="L41" s="147">
        <v>46297</v>
      </c>
      <c r="M41" s="122" t="s">
        <v>106</v>
      </c>
      <c r="N41" s="130" t="s">
        <v>153</v>
      </c>
      <c r="O41" s="131" t="s">
        <v>178</v>
      </c>
      <c r="P41" s="131" t="s">
        <v>153</v>
      </c>
      <c r="Q41" s="131" t="s">
        <v>181</v>
      </c>
      <c r="R41" s="131" t="s">
        <v>153</v>
      </c>
      <c r="S41" s="131" t="s">
        <v>153</v>
      </c>
      <c r="T41" s="131" t="s">
        <v>159</v>
      </c>
      <c r="Y41" s="78"/>
    </row>
    <row r="42" spans="1:25" ht="21.75" customHeight="1">
      <c r="A42" s="119">
        <v>40</v>
      </c>
      <c r="B42" s="120" t="s">
        <v>231</v>
      </c>
      <c r="C42" s="121"/>
      <c r="D42" s="121"/>
      <c r="E42" s="122">
        <v>72185050</v>
      </c>
      <c r="F42" s="133" t="s">
        <v>153</v>
      </c>
      <c r="G42" s="122" t="s">
        <v>101</v>
      </c>
      <c r="H42" s="123">
        <v>46293</v>
      </c>
      <c r="I42" s="124" t="s">
        <v>44</v>
      </c>
      <c r="J42" s="122" t="s">
        <v>232</v>
      </c>
      <c r="K42" s="122" t="s">
        <v>200</v>
      </c>
      <c r="L42" s="147">
        <v>46302</v>
      </c>
      <c r="M42" s="122"/>
      <c r="N42" s="130"/>
      <c r="O42" s="131"/>
      <c r="P42" s="131"/>
      <c r="Q42" s="131"/>
      <c r="R42" s="131"/>
      <c r="S42" s="131"/>
      <c r="T42" s="131" t="s">
        <v>159</v>
      </c>
      <c r="Y42" s="78"/>
    </row>
    <row r="43" spans="1:25" ht="21.75" customHeight="1">
      <c r="A43" s="119">
        <v>41</v>
      </c>
      <c r="B43" s="120" t="s">
        <v>233</v>
      </c>
      <c r="C43" s="121"/>
      <c r="D43" s="121"/>
      <c r="E43" s="122">
        <v>70627777</v>
      </c>
      <c r="F43" s="133" t="s">
        <v>153</v>
      </c>
      <c r="G43" s="122" t="s">
        <v>167</v>
      </c>
      <c r="H43" s="123">
        <v>46293</v>
      </c>
      <c r="I43" s="124" t="s">
        <v>44</v>
      </c>
      <c r="J43" s="122" t="s">
        <v>170</v>
      </c>
      <c r="K43" s="122" t="s">
        <v>189</v>
      </c>
      <c r="L43" s="147">
        <v>46300</v>
      </c>
      <c r="M43" s="122"/>
      <c r="N43" s="130"/>
      <c r="O43" s="131"/>
      <c r="P43" s="131"/>
      <c r="Q43" s="131"/>
      <c r="R43" s="131"/>
      <c r="S43" s="131"/>
      <c r="T43" s="131" t="s">
        <v>159</v>
      </c>
      <c r="Y43" s="78"/>
    </row>
    <row r="44" spans="1:25" ht="21.75" customHeight="1">
      <c r="A44" s="119">
        <v>42</v>
      </c>
      <c r="B44" s="120" t="s">
        <v>234</v>
      </c>
      <c r="C44" s="121"/>
      <c r="D44" s="121"/>
      <c r="E44" s="122">
        <v>70367070</v>
      </c>
      <c r="F44" s="133" t="s">
        <v>153</v>
      </c>
      <c r="G44" s="122" t="s">
        <v>167</v>
      </c>
      <c r="H44" s="123">
        <v>46293</v>
      </c>
      <c r="I44" s="124" t="s">
        <v>44</v>
      </c>
      <c r="J44" s="122" t="s">
        <v>170</v>
      </c>
      <c r="K44" s="122" t="s">
        <v>156</v>
      </c>
      <c r="L44" s="147">
        <v>46300</v>
      </c>
      <c r="M44" s="122"/>
      <c r="N44" s="130"/>
      <c r="O44" s="131"/>
      <c r="P44" s="131"/>
      <c r="Q44" s="131"/>
      <c r="R44" s="131"/>
      <c r="S44" s="131"/>
      <c r="T44" s="131" t="s">
        <v>159</v>
      </c>
      <c r="Y44" s="78"/>
    </row>
    <row r="45" spans="1:25" ht="21.75" customHeight="1">
      <c r="A45" s="119">
        <v>43</v>
      </c>
      <c r="B45" s="120" t="s">
        <v>235</v>
      </c>
      <c r="C45" s="121"/>
      <c r="D45" s="121"/>
      <c r="E45" s="122">
        <v>89334444</v>
      </c>
      <c r="F45" s="139" t="s">
        <v>236</v>
      </c>
      <c r="G45" s="122" t="s">
        <v>167</v>
      </c>
      <c r="H45" s="123">
        <v>46293</v>
      </c>
      <c r="I45" s="124" t="s">
        <v>44</v>
      </c>
      <c r="J45" s="122" t="s">
        <v>220</v>
      </c>
      <c r="K45" s="122" t="s">
        <v>189</v>
      </c>
      <c r="L45" s="147">
        <v>46302</v>
      </c>
      <c r="M45" s="122"/>
      <c r="N45" s="130"/>
      <c r="O45" s="131"/>
      <c r="P45" s="131"/>
      <c r="Q45" s="131"/>
      <c r="R45" s="131"/>
      <c r="S45" s="131"/>
      <c r="T45" s="131" t="s">
        <v>159</v>
      </c>
      <c r="Y45" s="78"/>
    </row>
    <row r="46" spans="1:25" ht="21.75" customHeight="1">
      <c r="A46" s="119">
        <v>44</v>
      </c>
      <c r="B46" s="120" t="s">
        <v>237</v>
      </c>
      <c r="C46" s="121"/>
      <c r="D46" s="121"/>
      <c r="E46" s="122">
        <v>78030396</v>
      </c>
      <c r="F46" s="133" t="s">
        <v>153</v>
      </c>
      <c r="G46" s="122" t="s">
        <v>167</v>
      </c>
      <c r="H46" s="123">
        <v>46293</v>
      </c>
      <c r="I46" s="124" t="s">
        <v>44</v>
      </c>
      <c r="J46" s="122" t="s">
        <v>170</v>
      </c>
      <c r="K46" s="122" t="s">
        <v>200</v>
      </c>
      <c r="L46" s="147">
        <v>46300</v>
      </c>
      <c r="M46" s="122"/>
      <c r="N46" s="130"/>
      <c r="O46" s="131"/>
      <c r="P46" s="131"/>
      <c r="Q46" s="131"/>
      <c r="R46" s="131"/>
      <c r="S46" s="131"/>
      <c r="T46" s="131" t="s">
        <v>159</v>
      </c>
      <c r="Y46" s="78"/>
    </row>
    <row r="47" spans="1:25" ht="21.75" customHeight="1">
      <c r="A47" s="119">
        <v>45</v>
      </c>
      <c r="B47" s="120" t="s">
        <v>238</v>
      </c>
      <c r="C47" s="121"/>
      <c r="D47" s="121"/>
      <c r="E47" s="122">
        <v>91294006</v>
      </c>
      <c r="F47" s="133" t="s">
        <v>153</v>
      </c>
      <c r="G47" s="122" t="s">
        <v>101</v>
      </c>
      <c r="H47" s="123">
        <v>46293</v>
      </c>
      <c r="I47" s="124" t="s">
        <v>44</v>
      </c>
      <c r="J47" s="122" t="s">
        <v>170</v>
      </c>
      <c r="K47" s="122" t="s">
        <v>156</v>
      </c>
      <c r="L47" s="129"/>
      <c r="M47" s="122"/>
      <c r="N47" s="130"/>
      <c r="O47" s="131"/>
      <c r="P47" s="131"/>
      <c r="Q47" s="131"/>
      <c r="R47" s="131"/>
      <c r="S47" s="131"/>
      <c r="T47" s="131" t="s">
        <v>159</v>
      </c>
      <c r="Y47" s="78"/>
    </row>
    <row r="48" spans="1:25" ht="21.75" customHeight="1">
      <c r="A48" s="119">
        <v>46</v>
      </c>
      <c r="B48" s="120" t="s">
        <v>239</v>
      </c>
      <c r="C48" s="121"/>
      <c r="D48" s="121"/>
      <c r="E48" s="122">
        <v>94208888</v>
      </c>
      <c r="F48" s="139" t="s">
        <v>240</v>
      </c>
      <c r="G48" s="122" t="s">
        <v>167</v>
      </c>
      <c r="H48" s="123">
        <v>46293</v>
      </c>
      <c r="I48" s="124" t="s">
        <v>44</v>
      </c>
      <c r="J48" s="122" t="s">
        <v>170</v>
      </c>
      <c r="K48" s="122" t="s">
        <v>156</v>
      </c>
      <c r="L48" s="147">
        <v>46302</v>
      </c>
      <c r="M48" s="122"/>
      <c r="N48" s="130"/>
      <c r="O48" s="131"/>
      <c r="P48" s="131"/>
      <c r="Q48" s="131"/>
      <c r="R48" s="131"/>
      <c r="S48" s="131"/>
      <c r="T48" s="131" t="s">
        <v>159</v>
      </c>
      <c r="Y48" s="78"/>
    </row>
    <row r="49" spans="1:25" ht="21.75" customHeight="1">
      <c r="A49" s="119">
        <v>47</v>
      </c>
      <c r="B49" s="120" t="s">
        <v>241</v>
      </c>
      <c r="C49" s="121"/>
      <c r="D49" s="121"/>
      <c r="E49" s="122">
        <v>75363135</v>
      </c>
      <c r="F49" s="139" t="s">
        <v>242</v>
      </c>
      <c r="G49" s="122" t="s">
        <v>167</v>
      </c>
      <c r="H49" s="123">
        <v>46293</v>
      </c>
      <c r="I49" s="124" t="s">
        <v>42</v>
      </c>
      <c r="J49" s="122"/>
      <c r="K49" s="122"/>
      <c r="L49" s="129"/>
      <c r="M49" s="122"/>
      <c r="N49" s="130"/>
      <c r="O49" s="131"/>
      <c r="P49" s="131"/>
      <c r="Q49" s="131"/>
      <c r="R49" s="131"/>
      <c r="S49" s="131"/>
      <c r="T49" s="131" t="s">
        <v>159</v>
      </c>
      <c r="Y49" s="78"/>
    </row>
    <row r="50" spans="1:25" ht="21.75" customHeight="1">
      <c r="A50" s="119">
        <v>48</v>
      </c>
      <c r="B50" s="120" t="s">
        <v>243</v>
      </c>
      <c r="C50" s="121" t="s">
        <v>244</v>
      </c>
      <c r="D50" s="121"/>
      <c r="E50" s="122">
        <v>91915494</v>
      </c>
      <c r="F50" s="133" t="s">
        <v>153</v>
      </c>
      <c r="G50" s="122" t="s">
        <v>101</v>
      </c>
      <c r="H50" s="123">
        <v>46293</v>
      </c>
      <c r="I50" s="124" t="s">
        <v>44</v>
      </c>
      <c r="J50" s="122" t="s">
        <v>245</v>
      </c>
      <c r="K50" s="122" t="s">
        <v>156</v>
      </c>
      <c r="L50" s="147">
        <v>46267</v>
      </c>
      <c r="M50" s="122" t="s">
        <v>106</v>
      </c>
      <c r="N50" s="130" t="s">
        <v>153</v>
      </c>
      <c r="O50" s="131" t="s">
        <v>178</v>
      </c>
      <c r="P50" s="131" t="s">
        <v>153</v>
      </c>
      <c r="Q50" s="131" t="s">
        <v>246</v>
      </c>
      <c r="R50" s="131" t="s">
        <v>153</v>
      </c>
      <c r="S50" s="131" t="s">
        <v>153</v>
      </c>
      <c r="T50" s="131" t="s">
        <v>159</v>
      </c>
      <c r="Y50" s="78"/>
    </row>
    <row r="51" spans="1:25" ht="21.75" customHeight="1">
      <c r="A51" s="119">
        <v>49</v>
      </c>
      <c r="B51" s="120" t="s">
        <v>247</v>
      </c>
      <c r="C51" s="121"/>
      <c r="D51" s="121"/>
      <c r="E51" s="122">
        <v>73166666</v>
      </c>
      <c r="F51" s="139" t="s">
        <v>248</v>
      </c>
      <c r="G51" s="122" t="s">
        <v>167</v>
      </c>
      <c r="H51" s="123">
        <v>46293</v>
      </c>
      <c r="I51" s="124" t="s">
        <v>44</v>
      </c>
      <c r="J51" s="122" t="s">
        <v>170</v>
      </c>
      <c r="K51" s="122" t="s">
        <v>156</v>
      </c>
      <c r="L51" s="147">
        <v>46300</v>
      </c>
      <c r="M51" s="122"/>
      <c r="N51" s="130"/>
      <c r="O51" s="131"/>
      <c r="P51" s="131"/>
      <c r="Q51" s="131"/>
      <c r="R51" s="131"/>
      <c r="S51" s="131"/>
      <c r="T51" s="131" t="s">
        <v>159</v>
      </c>
      <c r="Y51" s="78"/>
    </row>
    <row r="52" spans="1:25" ht="21.75" customHeight="1">
      <c r="A52" s="119">
        <v>50</v>
      </c>
      <c r="B52" s="120" t="s">
        <v>249</v>
      </c>
      <c r="C52" s="121"/>
      <c r="D52" s="121"/>
      <c r="E52" s="122">
        <v>82848282</v>
      </c>
      <c r="F52" s="139" t="s">
        <v>250</v>
      </c>
      <c r="G52" s="122" t="s">
        <v>167</v>
      </c>
      <c r="H52" s="123">
        <v>46293</v>
      </c>
      <c r="I52" s="124" t="s">
        <v>44</v>
      </c>
      <c r="J52" s="122" t="s">
        <v>170</v>
      </c>
      <c r="K52" s="122" t="s">
        <v>156</v>
      </c>
      <c r="L52" s="147">
        <v>46300</v>
      </c>
      <c r="M52" s="122"/>
      <c r="N52" s="130"/>
      <c r="O52" s="131"/>
      <c r="P52" s="131"/>
      <c r="Q52" s="131"/>
      <c r="R52" s="131"/>
      <c r="S52" s="131"/>
      <c r="T52" s="131" t="s">
        <v>159</v>
      </c>
      <c r="Y52" s="78"/>
    </row>
    <row r="53" spans="1:25" ht="21.75" customHeight="1">
      <c r="A53" s="119">
        <v>51</v>
      </c>
      <c r="B53" s="120" t="s">
        <v>251</v>
      </c>
      <c r="C53" s="121" t="s">
        <v>252</v>
      </c>
      <c r="D53" s="121" t="s">
        <v>253</v>
      </c>
      <c r="E53" s="122">
        <v>90022828</v>
      </c>
      <c r="F53" s="133" t="s">
        <v>153</v>
      </c>
      <c r="G53" s="122" t="s">
        <v>167</v>
      </c>
      <c r="H53" s="123">
        <v>46293</v>
      </c>
      <c r="I53" s="124" t="s">
        <v>44</v>
      </c>
      <c r="J53" s="122" t="s">
        <v>254</v>
      </c>
      <c r="K53" s="122" t="s">
        <v>156</v>
      </c>
      <c r="L53" s="147">
        <v>46300</v>
      </c>
      <c r="M53" s="122"/>
      <c r="N53" s="130"/>
      <c r="O53" s="131"/>
      <c r="P53" s="131"/>
      <c r="Q53" s="131"/>
      <c r="R53" s="131"/>
      <c r="S53" s="131"/>
      <c r="T53" s="131" t="s">
        <v>159</v>
      </c>
      <c r="Y53" s="78"/>
    </row>
    <row r="54" spans="1:25" ht="21.75" customHeight="1">
      <c r="A54" s="119">
        <v>52</v>
      </c>
      <c r="B54" s="120" t="s">
        <v>255</v>
      </c>
      <c r="C54" s="121"/>
      <c r="D54" s="121"/>
      <c r="E54" s="122">
        <v>78038989</v>
      </c>
      <c r="F54" s="133" t="s">
        <v>153</v>
      </c>
      <c r="G54" s="122" t="s">
        <v>167</v>
      </c>
      <c r="H54" s="123">
        <v>46293</v>
      </c>
      <c r="I54" s="124" t="s">
        <v>44</v>
      </c>
      <c r="J54" s="122" t="s">
        <v>170</v>
      </c>
      <c r="K54" s="122" t="s">
        <v>156</v>
      </c>
      <c r="L54" s="147">
        <v>46300</v>
      </c>
      <c r="M54" s="122"/>
      <c r="N54" s="130"/>
      <c r="O54" s="131"/>
      <c r="P54" s="131"/>
      <c r="Q54" s="131"/>
      <c r="R54" s="131"/>
      <c r="S54" s="131"/>
      <c r="T54" s="131" t="s">
        <v>159</v>
      </c>
      <c r="Y54" s="78"/>
    </row>
    <row r="55" spans="1:25" ht="21.75" customHeight="1">
      <c r="A55" s="119">
        <v>53</v>
      </c>
      <c r="B55" s="120" t="s">
        <v>256</v>
      </c>
      <c r="C55" s="121"/>
      <c r="D55" s="121"/>
      <c r="E55" s="122">
        <v>90090915</v>
      </c>
      <c r="F55" s="139" t="s">
        <v>257</v>
      </c>
      <c r="G55" s="122" t="s">
        <v>167</v>
      </c>
      <c r="H55" s="123">
        <v>46293</v>
      </c>
      <c r="I55" s="124" t="s">
        <v>44</v>
      </c>
      <c r="J55" s="122" t="s">
        <v>170</v>
      </c>
      <c r="K55" s="122" t="s">
        <v>258</v>
      </c>
      <c r="L55" s="147" t="s">
        <v>153</v>
      </c>
      <c r="M55" s="122"/>
      <c r="N55" s="130"/>
      <c r="O55" s="131"/>
      <c r="P55" s="131"/>
      <c r="Q55" s="131"/>
      <c r="R55" s="131"/>
      <c r="S55" s="131"/>
      <c r="T55" s="131" t="s">
        <v>159</v>
      </c>
      <c r="Y55" s="78"/>
    </row>
    <row r="56" spans="1:25" ht="21.75" customHeight="1">
      <c r="A56" s="119">
        <v>54</v>
      </c>
      <c r="B56" s="120" t="s">
        <v>259</v>
      </c>
      <c r="C56" s="121" t="s">
        <v>260</v>
      </c>
      <c r="D56" s="121"/>
      <c r="E56" s="122">
        <v>76381571</v>
      </c>
      <c r="F56" s="139" t="s">
        <v>261</v>
      </c>
      <c r="G56" s="122" t="s">
        <v>167</v>
      </c>
      <c r="H56" s="123">
        <v>46293</v>
      </c>
      <c r="I56" s="124" t="s">
        <v>44</v>
      </c>
      <c r="J56" s="122" t="s">
        <v>254</v>
      </c>
      <c r="K56" s="122" t="s">
        <v>200</v>
      </c>
      <c r="L56" s="147">
        <v>46301</v>
      </c>
      <c r="M56" s="122" t="s">
        <v>262</v>
      </c>
      <c r="N56" s="130" t="s">
        <v>153</v>
      </c>
      <c r="O56" s="131" t="s">
        <v>178</v>
      </c>
      <c r="P56" s="131" t="s">
        <v>153</v>
      </c>
      <c r="Q56" s="131" t="s">
        <v>153</v>
      </c>
      <c r="R56" s="131" t="s">
        <v>153</v>
      </c>
      <c r="S56" s="131" t="s">
        <v>153</v>
      </c>
      <c r="T56" s="131" t="s">
        <v>159</v>
      </c>
      <c r="Y56" s="78"/>
    </row>
    <row r="57" spans="1:25" ht="21.75" customHeight="1">
      <c r="A57" s="119">
        <v>55</v>
      </c>
      <c r="B57" s="120" t="s">
        <v>263</v>
      </c>
      <c r="C57" s="121"/>
      <c r="D57" s="121"/>
      <c r="E57" s="122">
        <v>75312040</v>
      </c>
      <c r="F57" s="133" t="s">
        <v>153</v>
      </c>
      <c r="G57" s="122" t="s">
        <v>167</v>
      </c>
      <c r="H57" s="123">
        <v>46293</v>
      </c>
      <c r="I57" s="124" t="s">
        <v>42</v>
      </c>
      <c r="J57" s="122"/>
      <c r="K57" s="122"/>
      <c r="L57" s="129"/>
      <c r="M57" s="122"/>
      <c r="N57" s="130"/>
      <c r="O57" s="131"/>
      <c r="P57" s="131"/>
      <c r="Q57" s="131"/>
      <c r="R57" s="131"/>
      <c r="S57" s="131"/>
      <c r="T57" s="131" t="s">
        <v>159</v>
      </c>
      <c r="Y57" s="78"/>
    </row>
    <row r="58" spans="1:25" ht="21.75" customHeight="1">
      <c r="A58" s="125">
        <v>56</v>
      </c>
      <c r="B58" s="126" t="s">
        <v>264</v>
      </c>
      <c r="C58" s="127"/>
      <c r="D58" s="127"/>
      <c r="E58" s="128">
        <v>75154812</v>
      </c>
      <c r="F58" s="134" t="s">
        <v>153</v>
      </c>
      <c r="G58" s="122" t="s">
        <v>167</v>
      </c>
      <c r="H58" s="123">
        <v>46293</v>
      </c>
      <c r="I58" s="124" t="s">
        <v>42</v>
      </c>
      <c r="J58" s="122"/>
      <c r="K58" s="122"/>
      <c r="L58" s="129"/>
      <c r="M58" s="122"/>
      <c r="N58" s="130"/>
      <c r="O58" s="131"/>
      <c r="P58" s="131"/>
      <c r="Q58" s="131"/>
      <c r="R58" s="131"/>
      <c r="S58" s="131"/>
      <c r="T58" s="131" t="s">
        <v>159</v>
      </c>
      <c r="Y58" s="78"/>
    </row>
    <row r="59" spans="1:25" ht="21.75" customHeight="1">
      <c r="A59" s="125">
        <v>57</v>
      </c>
      <c r="B59" s="126" t="s">
        <v>265</v>
      </c>
      <c r="C59" s="127"/>
      <c r="D59" s="127"/>
      <c r="E59" s="128">
        <v>71345695</v>
      </c>
      <c r="F59" s="146" t="s">
        <v>266</v>
      </c>
      <c r="G59" s="122" t="s">
        <v>167</v>
      </c>
      <c r="H59" s="123">
        <v>46293</v>
      </c>
      <c r="I59" s="124" t="s">
        <v>44</v>
      </c>
      <c r="J59" s="122" t="s">
        <v>170</v>
      </c>
      <c r="K59" s="122" t="s">
        <v>267</v>
      </c>
      <c r="L59" s="129"/>
      <c r="M59" s="122"/>
      <c r="N59" s="130"/>
      <c r="O59" s="131"/>
      <c r="P59" s="131"/>
      <c r="Q59" s="131"/>
      <c r="R59" s="131"/>
      <c r="S59" s="131"/>
      <c r="T59" s="131" t="s">
        <v>159</v>
      </c>
      <c r="Y59" s="78"/>
    </row>
    <row r="60" spans="1:25" ht="21.75" customHeight="1">
      <c r="A60" s="125">
        <v>58</v>
      </c>
      <c r="B60" s="126" t="s">
        <v>268</v>
      </c>
      <c r="C60" s="127"/>
      <c r="D60" s="127"/>
      <c r="E60" s="128">
        <v>93690698</v>
      </c>
      <c r="F60" s="134" t="s">
        <v>153</v>
      </c>
      <c r="G60" s="122" t="s">
        <v>167</v>
      </c>
      <c r="H60" s="123">
        <v>46293</v>
      </c>
      <c r="I60" s="124" t="s">
        <v>44</v>
      </c>
      <c r="J60" s="122" t="s">
        <v>232</v>
      </c>
      <c r="K60" s="122" t="s">
        <v>156</v>
      </c>
      <c r="L60" s="147">
        <v>46304</v>
      </c>
      <c r="M60" s="122"/>
      <c r="N60" s="130"/>
      <c r="O60" s="131"/>
      <c r="P60" s="131"/>
      <c r="Q60" s="131"/>
      <c r="R60" s="131"/>
      <c r="S60" s="131"/>
      <c r="T60" s="131" t="s">
        <v>159</v>
      </c>
      <c r="Y60" s="78"/>
    </row>
    <row r="61" spans="1:25" ht="21.75" customHeight="1">
      <c r="A61" s="125">
        <v>59</v>
      </c>
      <c r="B61" s="126" t="s">
        <v>269</v>
      </c>
      <c r="C61" s="127"/>
      <c r="D61" s="127"/>
      <c r="E61" s="128">
        <v>77774343</v>
      </c>
      <c r="F61" s="146" t="s">
        <v>270</v>
      </c>
      <c r="G61" s="122" t="s">
        <v>167</v>
      </c>
      <c r="H61" s="123">
        <v>46293</v>
      </c>
      <c r="I61" s="124" t="s">
        <v>42</v>
      </c>
      <c r="J61" s="122"/>
      <c r="K61" s="122"/>
      <c r="L61" s="129"/>
      <c r="M61" s="122"/>
      <c r="N61" s="130"/>
      <c r="O61" s="131"/>
      <c r="P61" s="131"/>
      <c r="Q61" s="131"/>
      <c r="R61" s="131"/>
      <c r="S61" s="131"/>
      <c r="T61" s="131" t="s">
        <v>159</v>
      </c>
      <c r="Y61" s="78"/>
    </row>
    <row r="62" spans="1:25" ht="21.75" customHeight="1">
      <c r="A62" s="125">
        <v>60</v>
      </c>
      <c r="B62" s="126" t="s">
        <v>271</v>
      </c>
      <c r="C62" s="127"/>
      <c r="D62" s="127"/>
      <c r="E62" s="128">
        <v>73732183</v>
      </c>
      <c r="F62" s="146" t="s">
        <v>272</v>
      </c>
      <c r="G62" s="122" t="s">
        <v>167</v>
      </c>
      <c r="H62" s="123">
        <v>46293</v>
      </c>
      <c r="I62" s="124" t="s">
        <v>42</v>
      </c>
      <c r="J62" s="122"/>
      <c r="K62" s="122"/>
      <c r="L62" s="129"/>
      <c r="M62" s="122"/>
      <c r="N62" s="130"/>
      <c r="O62" s="131"/>
      <c r="P62" s="131"/>
      <c r="Q62" s="131"/>
      <c r="R62" s="131"/>
      <c r="S62" s="131"/>
      <c r="T62" s="131" t="s">
        <v>159</v>
      </c>
      <c r="Y62" s="78"/>
    </row>
    <row r="63" spans="1:25" ht="21.75" customHeight="1">
      <c r="A63" s="125">
        <v>61</v>
      </c>
      <c r="B63" s="126" t="s">
        <v>273</v>
      </c>
      <c r="C63" s="127"/>
      <c r="D63" s="127"/>
      <c r="E63" s="128">
        <v>76593418</v>
      </c>
      <c r="F63" s="134" t="s">
        <v>153</v>
      </c>
      <c r="G63" s="122" t="s">
        <v>167</v>
      </c>
      <c r="H63" s="123">
        <v>46293</v>
      </c>
      <c r="I63" s="124" t="s">
        <v>42</v>
      </c>
      <c r="J63" s="122"/>
      <c r="K63" s="122"/>
      <c r="L63" s="129"/>
      <c r="M63" s="122"/>
      <c r="N63" s="130"/>
      <c r="O63" s="131"/>
      <c r="P63" s="131"/>
      <c r="Q63" s="131"/>
      <c r="R63" s="131"/>
      <c r="S63" s="131"/>
      <c r="T63" s="131" t="s">
        <v>159</v>
      </c>
      <c r="Y63" s="78"/>
    </row>
    <row r="64" spans="1:25" ht="21.75" customHeight="1">
      <c r="A64" s="125">
        <v>62</v>
      </c>
      <c r="B64" s="126" t="s">
        <v>274</v>
      </c>
      <c r="C64" s="127"/>
      <c r="D64" s="127"/>
      <c r="E64" s="128">
        <v>74494669</v>
      </c>
      <c r="F64" s="146" t="s">
        <v>275</v>
      </c>
      <c r="G64" s="122" t="s">
        <v>167</v>
      </c>
      <c r="H64" s="123">
        <v>46293</v>
      </c>
      <c r="I64" s="124" t="s">
        <v>42</v>
      </c>
      <c r="J64" s="122"/>
      <c r="K64" s="122"/>
      <c r="L64" s="129"/>
      <c r="M64" s="122"/>
      <c r="N64" s="130"/>
      <c r="O64" s="131"/>
      <c r="P64" s="131"/>
      <c r="Q64" s="131"/>
      <c r="R64" s="131"/>
      <c r="S64" s="131"/>
      <c r="T64" s="131" t="s">
        <v>159</v>
      </c>
      <c r="Y64" s="78"/>
    </row>
    <row r="65" spans="1:25" ht="21.75" customHeight="1">
      <c r="A65" s="125">
        <v>63</v>
      </c>
      <c r="B65" s="126" t="s">
        <v>276</v>
      </c>
      <c r="C65" s="127" t="s">
        <v>277</v>
      </c>
      <c r="D65" s="127"/>
      <c r="E65" s="128">
        <v>72777177</v>
      </c>
      <c r="F65" s="146" t="s">
        <v>278</v>
      </c>
      <c r="G65" s="122" t="s">
        <v>167</v>
      </c>
      <c r="H65" s="123">
        <v>46293</v>
      </c>
      <c r="I65" s="124" t="s">
        <v>44</v>
      </c>
      <c r="J65" s="122" t="s">
        <v>170</v>
      </c>
      <c r="K65" s="122" t="s">
        <v>156</v>
      </c>
      <c r="L65" s="147">
        <v>46304</v>
      </c>
      <c r="M65" s="122"/>
      <c r="N65" s="130"/>
      <c r="O65" s="131"/>
      <c r="P65" s="131"/>
      <c r="Q65" s="131"/>
      <c r="R65" s="131"/>
      <c r="S65" s="131"/>
      <c r="T65" s="131" t="s">
        <v>159</v>
      </c>
      <c r="Y65" s="78"/>
    </row>
    <row r="66" spans="1:25" ht="21.75" customHeight="1">
      <c r="A66" s="125">
        <v>64</v>
      </c>
      <c r="B66" s="126" t="s">
        <v>279</v>
      </c>
      <c r="C66" s="127" t="s">
        <v>153</v>
      </c>
      <c r="D66" s="127" t="s">
        <v>183</v>
      </c>
      <c r="E66" s="128">
        <v>79413146</v>
      </c>
      <c r="F66" s="146" t="s">
        <v>280</v>
      </c>
      <c r="G66" s="122" t="s">
        <v>167</v>
      </c>
      <c r="H66" s="123">
        <v>46293</v>
      </c>
      <c r="I66" s="124" t="s">
        <v>44</v>
      </c>
      <c r="J66" s="122" t="s">
        <v>155</v>
      </c>
      <c r="K66" s="122" t="s">
        <v>156</v>
      </c>
      <c r="L66" s="147">
        <v>46300</v>
      </c>
      <c r="M66" s="122" t="s">
        <v>106</v>
      </c>
      <c r="N66" s="130" t="s">
        <v>153</v>
      </c>
      <c r="O66" s="131" t="s">
        <v>178</v>
      </c>
      <c r="P66" s="131" t="s">
        <v>153</v>
      </c>
      <c r="Q66" s="131" t="s">
        <v>153</v>
      </c>
      <c r="R66" s="131" t="s">
        <v>153</v>
      </c>
      <c r="S66" s="131" t="s">
        <v>153</v>
      </c>
      <c r="T66" s="131" t="s">
        <v>159</v>
      </c>
      <c r="Y66" s="78"/>
    </row>
    <row r="67" spans="1:25" ht="21.75" customHeight="1">
      <c r="A67" s="125">
        <v>65</v>
      </c>
      <c r="B67" s="126" t="s">
        <v>281</v>
      </c>
      <c r="C67" s="127"/>
      <c r="D67" s="127"/>
      <c r="E67" s="128">
        <v>66746311</v>
      </c>
      <c r="F67" s="146" t="s">
        <v>282</v>
      </c>
      <c r="G67" s="122" t="s">
        <v>101</v>
      </c>
      <c r="H67" s="123">
        <v>46293</v>
      </c>
      <c r="I67" s="124" t="s">
        <v>50</v>
      </c>
      <c r="J67" s="122" t="s">
        <v>283</v>
      </c>
      <c r="K67" s="122" t="s">
        <v>200</v>
      </c>
      <c r="L67" s="147">
        <v>46297</v>
      </c>
      <c r="M67" s="122"/>
      <c r="N67" s="130"/>
      <c r="O67" s="131"/>
      <c r="P67" s="131" t="s">
        <v>153</v>
      </c>
      <c r="Q67" s="131"/>
      <c r="R67" s="131" t="s">
        <v>153</v>
      </c>
      <c r="S67" s="131" t="s">
        <v>153</v>
      </c>
      <c r="T67" s="131" t="s">
        <v>159</v>
      </c>
      <c r="Y67" s="78"/>
    </row>
    <row r="68" spans="1:25" ht="21.75" customHeight="1">
      <c r="A68" s="125">
        <v>66</v>
      </c>
      <c r="B68" s="126" t="s">
        <v>284</v>
      </c>
      <c r="C68" s="127"/>
      <c r="D68" s="127"/>
      <c r="E68" s="128">
        <v>75548808</v>
      </c>
      <c r="F68" s="134" t="s">
        <v>153</v>
      </c>
      <c r="G68" s="122" t="s">
        <v>101</v>
      </c>
      <c r="H68" s="123">
        <v>46293</v>
      </c>
      <c r="I68" s="124" t="s">
        <v>44</v>
      </c>
      <c r="J68" s="122" t="s">
        <v>285</v>
      </c>
      <c r="K68" s="122" t="s">
        <v>200</v>
      </c>
      <c r="L68" s="147">
        <v>46297</v>
      </c>
      <c r="M68" s="122"/>
      <c r="N68" s="130"/>
      <c r="O68" s="131"/>
      <c r="P68" s="131" t="s">
        <v>153</v>
      </c>
      <c r="Q68" s="131"/>
      <c r="R68" s="131" t="s">
        <v>153</v>
      </c>
      <c r="S68" s="131" t="s">
        <v>153</v>
      </c>
      <c r="T68" s="131" t="s">
        <v>159</v>
      </c>
      <c r="Y68" s="78"/>
    </row>
    <row r="69" spans="1:25" ht="21.75" customHeight="1">
      <c r="A69" s="125">
        <v>67</v>
      </c>
      <c r="B69" s="126" t="s">
        <v>286</v>
      </c>
      <c r="C69" s="127"/>
      <c r="D69" s="127"/>
      <c r="E69" s="128">
        <v>76166557</v>
      </c>
      <c r="F69" s="134" t="s">
        <v>153</v>
      </c>
      <c r="G69" s="122" t="s">
        <v>167</v>
      </c>
      <c r="H69" s="123">
        <v>46293</v>
      </c>
      <c r="I69" s="124" t="s">
        <v>44</v>
      </c>
      <c r="J69" s="122" t="s">
        <v>170</v>
      </c>
      <c r="K69" s="122" t="s">
        <v>200</v>
      </c>
      <c r="L69" s="147">
        <v>46300</v>
      </c>
      <c r="M69" s="122"/>
      <c r="N69" s="130"/>
      <c r="O69" s="131"/>
      <c r="P69" s="131"/>
      <c r="Q69" s="131"/>
      <c r="R69" s="131"/>
      <c r="S69" s="131"/>
      <c r="T69" s="131" t="s">
        <v>159</v>
      </c>
      <c r="Y69" s="78"/>
    </row>
    <row r="70" spans="1:25" ht="21.75" customHeight="1">
      <c r="A70" s="125">
        <v>68</v>
      </c>
      <c r="B70" s="126" t="s">
        <v>287</v>
      </c>
      <c r="C70" s="127"/>
      <c r="D70" s="127"/>
      <c r="E70" s="128">
        <v>74740303</v>
      </c>
      <c r="F70" s="134" t="s">
        <v>153</v>
      </c>
      <c r="G70" s="122" t="s">
        <v>167</v>
      </c>
      <c r="H70" s="123">
        <v>46293</v>
      </c>
      <c r="I70" s="124" t="s">
        <v>44</v>
      </c>
      <c r="J70" s="122" t="s">
        <v>170</v>
      </c>
      <c r="K70" s="122" t="s">
        <v>156</v>
      </c>
      <c r="L70" s="147">
        <v>46300</v>
      </c>
      <c r="M70" s="122"/>
      <c r="N70" s="130"/>
      <c r="O70" s="131"/>
      <c r="P70" s="131"/>
      <c r="Q70" s="131"/>
      <c r="R70" s="131"/>
      <c r="S70" s="131"/>
      <c r="T70" s="131" t="s">
        <v>159</v>
      </c>
      <c r="Y70" s="78"/>
    </row>
    <row r="71" spans="1:25" ht="21.75" customHeight="1">
      <c r="A71" s="125">
        <v>69</v>
      </c>
      <c r="B71" s="126" t="s">
        <v>288</v>
      </c>
      <c r="C71" s="127"/>
      <c r="D71" s="127"/>
      <c r="E71" s="128">
        <v>83593816</v>
      </c>
      <c r="F71" s="134" t="s">
        <v>153</v>
      </c>
      <c r="G71" s="122" t="s">
        <v>167</v>
      </c>
      <c r="H71" s="123">
        <v>46294</v>
      </c>
      <c r="I71" s="124" t="s">
        <v>42</v>
      </c>
      <c r="J71" s="122"/>
      <c r="K71" s="122"/>
      <c r="L71" s="129"/>
      <c r="M71" s="122"/>
      <c r="N71" s="130"/>
      <c r="O71" s="131"/>
      <c r="P71" s="131"/>
      <c r="Q71" s="131"/>
      <c r="R71" s="131"/>
      <c r="S71" s="131"/>
      <c r="T71" s="131" t="s">
        <v>159</v>
      </c>
      <c r="Y71" s="78"/>
    </row>
    <row r="72" spans="1:25" ht="21.75" customHeight="1">
      <c r="A72" s="125">
        <v>70</v>
      </c>
      <c r="B72" s="126" t="s">
        <v>289</v>
      </c>
      <c r="C72" s="127"/>
      <c r="D72" s="127"/>
      <c r="E72" s="128">
        <v>71155658</v>
      </c>
      <c r="F72" s="134" t="s">
        <v>153</v>
      </c>
      <c r="G72" s="122" t="s">
        <v>167</v>
      </c>
      <c r="H72" s="123">
        <v>46294</v>
      </c>
      <c r="I72" s="124" t="s">
        <v>44</v>
      </c>
      <c r="J72" s="122" t="s">
        <v>170</v>
      </c>
      <c r="K72" s="122" t="s">
        <v>200</v>
      </c>
      <c r="L72" s="147">
        <v>46300</v>
      </c>
      <c r="M72" s="122"/>
      <c r="N72" s="130"/>
      <c r="O72" s="131"/>
      <c r="P72" s="131"/>
      <c r="Q72" s="131"/>
      <c r="R72" s="131"/>
      <c r="S72" s="131"/>
      <c r="T72" s="131" t="s">
        <v>159</v>
      </c>
      <c r="Y72" s="78"/>
    </row>
    <row r="73" spans="1:25" ht="21.75" customHeight="1">
      <c r="A73" s="125">
        <v>71</v>
      </c>
      <c r="B73" s="126" t="s">
        <v>290</v>
      </c>
      <c r="C73" s="127"/>
      <c r="D73" s="127"/>
      <c r="E73" s="128" t="s">
        <v>153</v>
      </c>
      <c r="F73" s="134" t="s">
        <v>153</v>
      </c>
      <c r="G73" s="122" t="s">
        <v>101</v>
      </c>
      <c r="H73" s="123">
        <v>46295</v>
      </c>
      <c r="I73" s="124" t="s">
        <v>44</v>
      </c>
      <c r="J73" s="122" t="s">
        <v>285</v>
      </c>
      <c r="K73" s="122"/>
      <c r="L73" s="129"/>
      <c r="M73" s="122"/>
      <c r="N73" s="130"/>
      <c r="O73" s="131"/>
      <c r="P73" s="131"/>
      <c r="Q73" s="131"/>
      <c r="R73" s="131"/>
      <c r="S73" s="131"/>
      <c r="T73" s="131" t="s">
        <v>159</v>
      </c>
      <c r="Y73" s="78"/>
    </row>
    <row r="74" spans="1:25" ht="21.75" customHeight="1">
      <c r="A74" s="125">
        <v>72</v>
      </c>
      <c r="B74" s="126" t="s">
        <v>291</v>
      </c>
      <c r="C74" s="127"/>
      <c r="D74" s="127"/>
      <c r="E74" s="128">
        <v>77180404</v>
      </c>
      <c r="F74" s="134" t="s">
        <v>153</v>
      </c>
      <c r="G74" s="122" t="s">
        <v>101</v>
      </c>
      <c r="H74" s="123">
        <v>46295</v>
      </c>
      <c r="I74" s="124" t="s">
        <v>44</v>
      </c>
      <c r="J74" s="122" t="s">
        <v>285</v>
      </c>
      <c r="K74" s="122"/>
      <c r="L74" s="129"/>
      <c r="M74" s="122"/>
      <c r="N74" s="130"/>
      <c r="O74" s="131"/>
      <c r="P74" s="131"/>
      <c r="Q74" s="131"/>
      <c r="R74" s="131"/>
      <c r="S74" s="131"/>
      <c r="T74" s="131" t="s">
        <v>159</v>
      </c>
      <c r="Y74" s="78"/>
    </row>
    <row r="75" spans="1:25" ht="21.75" customHeight="1">
      <c r="A75" s="125">
        <v>73</v>
      </c>
      <c r="B75" s="126" t="s">
        <v>292</v>
      </c>
      <c r="C75" s="127"/>
      <c r="D75" s="127"/>
      <c r="E75" s="128">
        <v>74489459</v>
      </c>
      <c r="F75" s="134" t="s">
        <v>153</v>
      </c>
      <c r="G75" s="122" t="s">
        <v>101</v>
      </c>
      <c r="H75" s="123">
        <v>46295</v>
      </c>
      <c r="I75" s="124" t="s">
        <v>44</v>
      </c>
      <c r="J75" s="122" t="s">
        <v>285</v>
      </c>
      <c r="K75" s="122"/>
      <c r="L75" s="129"/>
      <c r="M75" s="122"/>
      <c r="N75" s="130"/>
      <c r="O75" s="131"/>
      <c r="P75" s="131"/>
      <c r="Q75" s="131"/>
      <c r="R75" s="131"/>
      <c r="S75" s="131"/>
      <c r="T75" s="131" t="s">
        <v>159</v>
      </c>
      <c r="Y75" s="78"/>
    </row>
    <row r="76" spans="1:25" ht="21.75" customHeight="1">
      <c r="A76" s="125">
        <v>74</v>
      </c>
      <c r="B76" s="126" t="s">
        <v>293</v>
      </c>
      <c r="C76" s="127"/>
      <c r="D76" s="127"/>
      <c r="E76" s="128">
        <v>74006666</v>
      </c>
      <c r="F76" s="134" t="s">
        <v>153</v>
      </c>
      <c r="G76" s="122" t="s">
        <v>101</v>
      </c>
      <c r="H76" s="123">
        <v>46295</v>
      </c>
      <c r="I76" s="124" t="s">
        <v>44</v>
      </c>
      <c r="J76" s="122" t="s">
        <v>285</v>
      </c>
      <c r="K76" s="122"/>
      <c r="L76" s="129"/>
      <c r="M76" s="122"/>
      <c r="N76" s="130"/>
      <c r="O76" s="131"/>
      <c r="P76" s="131"/>
      <c r="Q76" s="131"/>
      <c r="R76" s="131"/>
      <c r="S76" s="131"/>
      <c r="T76" s="131" t="s">
        <v>159</v>
      </c>
      <c r="Y76" s="78"/>
    </row>
    <row r="77" spans="1:25" ht="21.75" customHeight="1">
      <c r="A77" s="125">
        <v>75</v>
      </c>
      <c r="B77" s="126" t="s">
        <v>294</v>
      </c>
      <c r="C77" s="127" t="s">
        <v>252</v>
      </c>
      <c r="D77" s="127" t="s">
        <v>183</v>
      </c>
      <c r="E77" s="128">
        <v>60644890</v>
      </c>
      <c r="F77" s="134" t="s">
        <v>153</v>
      </c>
      <c r="G77" s="122" t="s">
        <v>101</v>
      </c>
      <c r="H77" s="123">
        <v>46295</v>
      </c>
      <c r="I77" s="124" t="s">
        <v>44</v>
      </c>
      <c r="J77" s="122" t="s">
        <v>285</v>
      </c>
      <c r="K77" s="122"/>
      <c r="L77" s="129"/>
      <c r="M77" s="122"/>
      <c r="N77" s="130"/>
      <c r="O77" s="131"/>
      <c r="P77" s="131"/>
      <c r="Q77" s="131"/>
      <c r="R77" s="131"/>
      <c r="S77" s="131"/>
      <c r="T77" s="131" t="s">
        <v>159</v>
      </c>
      <c r="Y77" s="78"/>
    </row>
    <row r="78" spans="1:25" ht="21.75" customHeight="1">
      <c r="A78" s="125">
        <v>76</v>
      </c>
      <c r="B78" s="126" t="s">
        <v>295</v>
      </c>
      <c r="C78" s="127"/>
      <c r="D78" s="127"/>
      <c r="E78" s="128">
        <v>92911212</v>
      </c>
      <c r="F78" s="134" t="s">
        <v>153</v>
      </c>
      <c r="G78" s="122" t="s">
        <v>101</v>
      </c>
      <c r="H78" s="123">
        <v>46295</v>
      </c>
      <c r="I78" s="124" t="s">
        <v>44</v>
      </c>
      <c r="J78" s="122" t="s">
        <v>285</v>
      </c>
      <c r="K78" s="122"/>
      <c r="L78" s="129"/>
      <c r="M78" s="122"/>
      <c r="N78" s="130"/>
      <c r="O78" s="131"/>
      <c r="P78" s="131"/>
      <c r="Q78" s="131"/>
      <c r="R78" s="131"/>
      <c r="S78" s="131"/>
      <c r="T78" s="131" t="s">
        <v>159</v>
      </c>
      <c r="Y78" s="78"/>
    </row>
    <row r="79" spans="1:25" ht="21.75" customHeight="1">
      <c r="A79" s="125">
        <v>77</v>
      </c>
      <c r="B79" s="126" t="s">
        <v>296</v>
      </c>
      <c r="C79" s="127"/>
      <c r="D79" s="127"/>
      <c r="E79" s="128">
        <v>70390739</v>
      </c>
      <c r="F79" s="134" t="s">
        <v>153</v>
      </c>
      <c r="G79" s="122" t="s">
        <v>101</v>
      </c>
      <c r="H79" s="123">
        <v>46295</v>
      </c>
      <c r="I79" s="124" t="s">
        <v>44</v>
      </c>
      <c r="J79" s="122" t="s">
        <v>254</v>
      </c>
      <c r="K79" s="122"/>
      <c r="L79" s="129"/>
      <c r="M79" s="122"/>
      <c r="N79" s="130"/>
      <c r="O79" s="131"/>
      <c r="P79" s="131"/>
      <c r="Q79" s="131"/>
      <c r="R79" s="131"/>
      <c r="S79" s="131"/>
      <c r="T79" s="131" t="s">
        <v>159</v>
      </c>
      <c r="Y79" s="78"/>
    </row>
    <row r="80" spans="1:25" ht="21.75" customHeight="1">
      <c r="A80" s="125">
        <v>78</v>
      </c>
      <c r="B80" s="126" t="s">
        <v>297</v>
      </c>
      <c r="C80" s="127"/>
      <c r="D80" s="127"/>
      <c r="E80" s="128">
        <v>71380000</v>
      </c>
      <c r="F80" s="134" t="s">
        <v>153</v>
      </c>
      <c r="G80" s="122" t="s">
        <v>167</v>
      </c>
      <c r="H80" s="123">
        <v>46296</v>
      </c>
      <c r="I80" s="124" t="s">
        <v>44</v>
      </c>
      <c r="J80" s="122" t="s">
        <v>170</v>
      </c>
      <c r="K80" s="122" t="s">
        <v>200</v>
      </c>
      <c r="L80" s="147">
        <v>46300</v>
      </c>
      <c r="M80" s="122"/>
      <c r="N80" s="130"/>
      <c r="O80" s="131"/>
      <c r="P80" s="131"/>
      <c r="Q80" s="131"/>
      <c r="R80" s="131"/>
      <c r="S80" s="131"/>
      <c r="T80" s="131" t="s">
        <v>159</v>
      </c>
      <c r="Y80" s="78"/>
    </row>
    <row r="81" spans="1:25" ht="21.75" customHeight="1">
      <c r="A81" s="125">
        <v>79</v>
      </c>
      <c r="B81" s="126" t="s">
        <v>298</v>
      </c>
      <c r="C81" s="127"/>
      <c r="D81" s="127"/>
      <c r="E81" s="128">
        <v>66742993</v>
      </c>
      <c r="F81" s="134" t="s">
        <v>153</v>
      </c>
      <c r="G81" s="122" t="s">
        <v>167</v>
      </c>
      <c r="H81" s="123">
        <v>46296</v>
      </c>
      <c r="I81" s="124" t="s">
        <v>44</v>
      </c>
      <c r="J81" s="122" t="s">
        <v>170</v>
      </c>
      <c r="K81" s="122"/>
      <c r="L81" s="129"/>
      <c r="M81" s="122"/>
      <c r="N81" s="130"/>
      <c r="O81" s="131"/>
      <c r="P81" s="131"/>
      <c r="Q81" s="131"/>
      <c r="R81" s="131"/>
      <c r="S81" s="131"/>
      <c r="T81" s="131" t="s">
        <v>159</v>
      </c>
      <c r="Y81" s="78"/>
    </row>
    <row r="82" spans="1:25" ht="21.75" customHeight="1">
      <c r="A82" s="125">
        <v>80</v>
      </c>
      <c r="B82" s="126" t="s">
        <v>299</v>
      </c>
      <c r="C82" s="127"/>
      <c r="D82" s="127"/>
      <c r="E82" s="128">
        <v>91820000</v>
      </c>
      <c r="F82" s="134" t="s">
        <v>153</v>
      </c>
      <c r="G82" s="122" t="s">
        <v>167</v>
      </c>
      <c r="H82" s="123">
        <v>46296</v>
      </c>
      <c r="I82" s="124" t="s">
        <v>42</v>
      </c>
      <c r="J82" s="122"/>
      <c r="K82" s="122"/>
      <c r="L82" s="129"/>
      <c r="M82" s="122"/>
      <c r="N82" s="130"/>
      <c r="O82" s="131"/>
      <c r="P82" s="131"/>
      <c r="Q82" s="131"/>
      <c r="R82" s="131"/>
      <c r="S82" s="131"/>
      <c r="T82" s="131" t="s">
        <v>159</v>
      </c>
      <c r="Y82" s="78"/>
    </row>
    <row r="83" spans="1:25" ht="21.75" customHeight="1">
      <c r="A83" s="125">
        <v>81</v>
      </c>
      <c r="B83" s="126" t="s">
        <v>300</v>
      </c>
      <c r="C83" s="127"/>
      <c r="D83" s="127"/>
      <c r="E83" s="128">
        <v>72407040</v>
      </c>
      <c r="F83" s="134" t="s">
        <v>153</v>
      </c>
      <c r="G83" s="122" t="s">
        <v>167</v>
      </c>
      <c r="H83" s="123">
        <v>46296</v>
      </c>
      <c r="I83" s="124" t="s">
        <v>44</v>
      </c>
      <c r="J83" s="122" t="s">
        <v>232</v>
      </c>
      <c r="K83" s="122" t="s">
        <v>156</v>
      </c>
      <c r="L83" s="147">
        <v>46304</v>
      </c>
      <c r="M83" s="122"/>
      <c r="N83" s="130"/>
      <c r="O83" s="131"/>
      <c r="P83" s="131"/>
      <c r="Q83" s="131"/>
      <c r="R83" s="131"/>
      <c r="S83" s="131"/>
      <c r="T83" s="131" t="s">
        <v>159</v>
      </c>
      <c r="Y83" s="78"/>
    </row>
    <row r="84" spans="1:25" ht="21.75" customHeight="1">
      <c r="A84" s="125">
        <v>82</v>
      </c>
      <c r="B84" s="126" t="s">
        <v>301</v>
      </c>
      <c r="C84" s="127"/>
      <c r="D84" s="127"/>
      <c r="E84" s="128">
        <v>71750466</v>
      </c>
      <c r="F84" s="134" t="s">
        <v>153</v>
      </c>
      <c r="G84" s="122" t="s">
        <v>167</v>
      </c>
      <c r="H84" s="123">
        <v>46296</v>
      </c>
      <c r="I84" s="124" t="s">
        <v>44</v>
      </c>
      <c r="J84" s="122" t="s">
        <v>170</v>
      </c>
      <c r="K84" s="122" t="s">
        <v>156</v>
      </c>
      <c r="L84" s="147">
        <v>46304</v>
      </c>
      <c r="M84" s="122"/>
      <c r="N84" s="130"/>
      <c r="O84" s="131"/>
      <c r="P84" s="131"/>
      <c r="Q84" s="131"/>
      <c r="R84" s="131"/>
      <c r="S84" s="131"/>
      <c r="T84" s="131" t="s">
        <v>159</v>
      </c>
      <c r="Y84" s="78"/>
    </row>
    <row r="85" spans="1:25" ht="21.75" customHeight="1">
      <c r="A85" s="125">
        <v>83</v>
      </c>
      <c r="B85" s="126" t="s">
        <v>302</v>
      </c>
      <c r="C85" s="127"/>
      <c r="D85" s="127"/>
      <c r="E85" s="128">
        <v>71404040</v>
      </c>
      <c r="F85" s="134" t="s">
        <v>153</v>
      </c>
      <c r="G85" s="122" t="s">
        <v>167</v>
      </c>
      <c r="H85" s="123">
        <v>46296</v>
      </c>
      <c r="I85" s="124" t="s">
        <v>42</v>
      </c>
      <c r="J85" s="122"/>
      <c r="K85" s="122"/>
      <c r="L85" s="129"/>
      <c r="M85" s="122"/>
      <c r="N85" s="130"/>
      <c r="O85" s="131"/>
      <c r="P85" s="131"/>
      <c r="Q85" s="131"/>
      <c r="R85" s="131"/>
      <c r="S85" s="131"/>
      <c r="T85" s="131" t="s">
        <v>159</v>
      </c>
      <c r="Y85" s="78"/>
    </row>
    <row r="86" spans="1:25" ht="21.75" customHeight="1">
      <c r="A86" s="125">
        <v>84</v>
      </c>
      <c r="B86" s="126" t="s">
        <v>303</v>
      </c>
      <c r="C86" s="127"/>
      <c r="D86" s="127"/>
      <c r="E86" s="128">
        <v>92893562</v>
      </c>
      <c r="F86" s="134" t="s">
        <v>153</v>
      </c>
      <c r="G86" s="122" t="s">
        <v>167</v>
      </c>
      <c r="H86" s="123">
        <v>46296</v>
      </c>
      <c r="I86" s="124" t="s">
        <v>42</v>
      </c>
      <c r="J86" s="122"/>
      <c r="K86" s="122"/>
      <c r="L86" s="129"/>
      <c r="M86" s="122"/>
      <c r="N86" s="130"/>
      <c r="O86" s="131"/>
      <c r="P86" s="131"/>
      <c r="Q86" s="131"/>
      <c r="R86" s="131"/>
      <c r="S86" s="131"/>
      <c r="T86" s="131" t="s">
        <v>159</v>
      </c>
      <c r="Y86" s="78"/>
    </row>
    <row r="87" spans="1:25" ht="21.75" customHeight="1">
      <c r="A87" s="125">
        <v>85</v>
      </c>
      <c r="B87" s="126" t="s">
        <v>304</v>
      </c>
      <c r="C87" s="127"/>
      <c r="D87" s="127"/>
      <c r="E87" s="128">
        <v>77134343</v>
      </c>
      <c r="F87" s="134" t="s">
        <v>153</v>
      </c>
      <c r="G87" s="122" t="s">
        <v>167</v>
      </c>
      <c r="H87" s="123">
        <v>46296</v>
      </c>
      <c r="I87" s="124" t="s">
        <v>42</v>
      </c>
      <c r="J87" s="122"/>
      <c r="K87" s="122"/>
      <c r="L87" s="129"/>
      <c r="M87" s="122"/>
      <c r="N87" s="130"/>
      <c r="O87" s="131"/>
      <c r="P87" s="131"/>
      <c r="Q87" s="131"/>
      <c r="R87" s="131"/>
      <c r="S87" s="131"/>
      <c r="T87" s="131" t="s">
        <v>159</v>
      </c>
      <c r="Y87" s="78"/>
    </row>
    <row r="88" spans="1:25" ht="21.75" customHeight="1">
      <c r="A88" s="125">
        <v>86</v>
      </c>
      <c r="B88" s="126" t="s">
        <v>305</v>
      </c>
      <c r="C88" s="127"/>
      <c r="D88" s="127"/>
      <c r="E88" s="128">
        <v>84949443</v>
      </c>
      <c r="F88" s="134" t="s">
        <v>153</v>
      </c>
      <c r="G88" s="122" t="s">
        <v>167</v>
      </c>
      <c r="H88" s="123">
        <v>46296</v>
      </c>
      <c r="I88" s="124" t="s">
        <v>42</v>
      </c>
      <c r="J88" s="122"/>
      <c r="K88" s="122"/>
      <c r="L88" s="129"/>
      <c r="M88" s="122"/>
      <c r="N88" s="130"/>
      <c r="O88" s="131"/>
      <c r="P88" s="131"/>
      <c r="Q88" s="131"/>
      <c r="R88" s="131"/>
      <c r="S88" s="131"/>
      <c r="T88" s="131" t="s">
        <v>159</v>
      </c>
      <c r="Y88" s="78"/>
    </row>
    <row r="89" spans="1:25" ht="21.75" customHeight="1">
      <c r="A89" s="125">
        <v>87</v>
      </c>
      <c r="B89" s="126" t="s">
        <v>306</v>
      </c>
      <c r="C89" s="127"/>
      <c r="D89" s="127"/>
      <c r="E89" s="128">
        <v>84855599</v>
      </c>
      <c r="F89" s="134" t="s">
        <v>153</v>
      </c>
      <c r="G89" s="122" t="s">
        <v>167</v>
      </c>
      <c r="H89" s="123">
        <v>46296</v>
      </c>
      <c r="I89" s="124" t="s">
        <v>42</v>
      </c>
      <c r="J89" s="122"/>
      <c r="K89" s="122"/>
      <c r="L89" s="129"/>
      <c r="M89" s="122"/>
      <c r="N89" s="130"/>
      <c r="O89" s="131"/>
      <c r="P89" s="131"/>
      <c r="Q89" s="131"/>
      <c r="R89" s="131"/>
      <c r="S89" s="131"/>
      <c r="T89" s="131" t="s">
        <v>159</v>
      </c>
      <c r="Y89" s="78"/>
    </row>
    <row r="90" spans="1:25" ht="21.75" customHeight="1">
      <c r="A90" s="125">
        <v>88</v>
      </c>
      <c r="B90" s="126" t="s">
        <v>307</v>
      </c>
      <c r="C90" s="127"/>
      <c r="D90" s="127"/>
      <c r="E90" s="128">
        <v>72351212</v>
      </c>
      <c r="F90" s="134" t="s">
        <v>153</v>
      </c>
      <c r="G90" s="122" t="s">
        <v>167</v>
      </c>
      <c r="H90" s="123">
        <v>46296</v>
      </c>
      <c r="I90" s="124" t="s">
        <v>42</v>
      </c>
      <c r="J90" s="122"/>
      <c r="K90" s="122"/>
      <c r="L90" s="129"/>
      <c r="M90" s="122"/>
      <c r="N90" s="130"/>
      <c r="O90" s="131"/>
      <c r="P90" s="131"/>
      <c r="Q90" s="131"/>
      <c r="R90" s="131"/>
      <c r="S90" s="131"/>
      <c r="T90" s="131" t="s">
        <v>159</v>
      </c>
      <c r="Y90" s="78"/>
    </row>
    <row r="91" spans="1:25" ht="21.75" customHeight="1">
      <c r="A91" s="125">
        <v>89</v>
      </c>
      <c r="B91" s="126" t="s">
        <v>308</v>
      </c>
      <c r="C91" s="127"/>
      <c r="D91" s="127"/>
      <c r="E91" s="128">
        <v>79343445</v>
      </c>
      <c r="F91" s="134" t="s">
        <v>153</v>
      </c>
      <c r="G91" s="122" t="s">
        <v>167</v>
      </c>
      <c r="H91" s="123">
        <v>46296</v>
      </c>
      <c r="I91" s="124" t="s">
        <v>44</v>
      </c>
      <c r="J91" s="122" t="s">
        <v>170</v>
      </c>
      <c r="K91" s="122" t="s">
        <v>156</v>
      </c>
      <c r="L91" s="147">
        <v>46300</v>
      </c>
      <c r="M91" s="122"/>
      <c r="N91" s="130"/>
      <c r="O91" s="131"/>
      <c r="P91" s="131"/>
      <c r="Q91" s="131"/>
      <c r="R91" s="131"/>
      <c r="S91" s="131"/>
      <c r="T91" s="131" t="s">
        <v>159</v>
      </c>
      <c r="Y91" s="78"/>
    </row>
    <row r="92" spans="1:25" ht="21.75" customHeight="1">
      <c r="A92" s="125">
        <v>90</v>
      </c>
      <c r="B92" s="126" t="s">
        <v>309</v>
      </c>
      <c r="C92" s="127"/>
      <c r="D92" s="127"/>
      <c r="E92" s="128">
        <v>20223161</v>
      </c>
      <c r="F92" s="134" t="s">
        <v>153</v>
      </c>
      <c r="G92" s="122" t="s">
        <v>167</v>
      </c>
      <c r="H92" s="123">
        <v>46296</v>
      </c>
      <c r="I92" s="124" t="s">
        <v>42</v>
      </c>
      <c r="J92" s="122"/>
      <c r="K92" s="122"/>
      <c r="L92" s="129"/>
      <c r="M92" s="122"/>
      <c r="N92" s="130"/>
      <c r="O92" s="131"/>
      <c r="P92" s="131"/>
      <c r="Q92" s="131"/>
      <c r="R92" s="131"/>
      <c r="S92" s="131"/>
      <c r="T92" s="131" t="s">
        <v>159</v>
      </c>
      <c r="Y92" s="78"/>
    </row>
    <row r="93" spans="1:25" ht="21.75" customHeight="1">
      <c r="A93" s="125">
        <v>91</v>
      </c>
      <c r="B93" s="126" t="s">
        <v>310</v>
      </c>
      <c r="C93" s="127"/>
      <c r="D93" s="127"/>
      <c r="E93" s="128">
        <v>82008080</v>
      </c>
      <c r="F93" s="146" t="s">
        <v>311</v>
      </c>
      <c r="G93" s="122" t="s">
        <v>167</v>
      </c>
      <c r="H93" s="123">
        <v>46296</v>
      </c>
      <c r="I93" s="124" t="s">
        <v>42</v>
      </c>
      <c r="J93" s="122"/>
      <c r="K93" s="122"/>
      <c r="L93" s="129"/>
      <c r="M93" s="122"/>
      <c r="N93" s="130"/>
      <c r="O93" s="131"/>
      <c r="P93" s="131"/>
      <c r="Q93" s="131"/>
      <c r="R93" s="131"/>
      <c r="S93" s="131"/>
      <c r="T93" s="131" t="s">
        <v>159</v>
      </c>
      <c r="Y93" s="78"/>
    </row>
    <row r="94" spans="1:25" ht="21.75" customHeight="1">
      <c r="A94" s="125">
        <v>92</v>
      </c>
      <c r="B94" s="126" t="s">
        <v>312</v>
      </c>
      <c r="C94" s="127"/>
      <c r="D94" s="127"/>
      <c r="E94" s="128">
        <v>84845884</v>
      </c>
      <c r="F94" s="146" t="s">
        <v>313</v>
      </c>
      <c r="G94" s="122" t="s">
        <v>314</v>
      </c>
      <c r="H94" s="123">
        <v>46296</v>
      </c>
      <c r="I94" s="124" t="s">
        <v>42</v>
      </c>
      <c r="J94" s="122"/>
      <c r="K94" s="122"/>
      <c r="L94" s="129"/>
      <c r="M94" s="122"/>
      <c r="N94" s="130"/>
      <c r="O94" s="131"/>
      <c r="P94" s="131"/>
      <c r="Q94" s="131"/>
      <c r="R94" s="131"/>
      <c r="S94" s="131"/>
      <c r="T94" s="131" t="s">
        <v>159</v>
      </c>
      <c r="Y94" s="78"/>
    </row>
    <row r="95" spans="1:25" ht="21.75" customHeight="1">
      <c r="A95" s="125">
        <v>93</v>
      </c>
      <c r="B95" s="126" t="s">
        <v>315</v>
      </c>
      <c r="C95" s="127"/>
      <c r="D95" s="127"/>
      <c r="E95" s="128">
        <v>71414151</v>
      </c>
      <c r="F95" s="146" t="s">
        <v>316</v>
      </c>
      <c r="G95" s="122" t="s">
        <v>101</v>
      </c>
      <c r="H95" s="123">
        <v>46297</v>
      </c>
      <c r="I95" s="124" t="s">
        <v>42</v>
      </c>
      <c r="J95" s="122"/>
      <c r="K95" s="122"/>
      <c r="L95" s="129"/>
      <c r="M95" s="122"/>
      <c r="N95" s="130"/>
      <c r="O95" s="131"/>
      <c r="P95" s="131"/>
      <c r="Q95" s="131"/>
      <c r="R95" s="131"/>
      <c r="S95" s="131"/>
      <c r="T95" s="131" t="s">
        <v>159</v>
      </c>
      <c r="Y95" s="78"/>
    </row>
    <row r="96" spans="1:25" ht="21.75" customHeight="1">
      <c r="A96" s="125">
        <v>95</v>
      </c>
      <c r="B96" s="126" t="s">
        <v>317</v>
      </c>
      <c r="C96" s="127"/>
      <c r="D96" s="127"/>
      <c r="E96" s="128">
        <v>96423134</v>
      </c>
      <c r="F96" s="134"/>
      <c r="G96" s="122" t="s">
        <v>101</v>
      </c>
      <c r="H96" s="123">
        <v>46297</v>
      </c>
      <c r="I96" s="124" t="s">
        <v>42</v>
      </c>
      <c r="J96" s="122"/>
      <c r="K96" s="122"/>
      <c r="L96" s="129"/>
      <c r="M96" s="122"/>
      <c r="N96" s="130"/>
      <c r="O96" s="131"/>
      <c r="P96" s="131"/>
      <c r="Q96" s="131"/>
      <c r="R96" s="131"/>
      <c r="S96" s="131"/>
      <c r="T96" s="131" t="s">
        <v>159</v>
      </c>
      <c r="Y96" s="78"/>
    </row>
    <row r="97" spans="1:25" ht="21.75" customHeight="1">
      <c r="A97" s="125">
        <v>96</v>
      </c>
      <c r="B97" s="126" t="s">
        <v>318</v>
      </c>
      <c r="C97" s="127"/>
      <c r="D97" s="127"/>
      <c r="E97" s="128">
        <v>71373737</v>
      </c>
      <c r="F97" s="134"/>
      <c r="G97" s="122" t="s">
        <v>167</v>
      </c>
      <c r="H97" s="123">
        <v>46297</v>
      </c>
      <c r="I97" s="124" t="s">
        <v>42</v>
      </c>
      <c r="J97" s="122"/>
      <c r="K97" s="122"/>
      <c r="L97" s="129"/>
      <c r="M97" s="122"/>
      <c r="N97" s="130"/>
      <c r="O97" s="131"/>
      <c r="P97" s="131"/>
      <c r="Q97" s="131"/>
      <c r="R97" s="131"/>
      <c r="S97" s="131"/>
      <c r="T97" s="131" t="s">
        <v>159</v>
      </c>
      <c r="Y97" s="78"/>
    </row>
    <row r="98" spans="1:25" ht="21.75" customHeight="1">
      <c r="A98" s="125">
        <v>97</v>
      </c>
      <c r="B98" s="126" t="s">
        <v>319</v>
      </c>
      <c r="C98" s="127"/>
      <c r="D98" s="127"/>
      <c r="E98" s="128">
        <v>73027373</v>
      </c>
      <c r="F98" s="134"/>
      <c r="G98" s="122" t="s">
        <v>167</v>
      </c>
      <c r="H98" s="123">
        <v>46297</v>
      </c>
      <c r="I98" s="124" t="s">
        <v>42</v>
      </c>
      <c r="J98" s="122"/>
      <c r="K98" s="122"/>
      <c r="L98" s="129"/>
      <c r="M98" s="122"/>
      <c r="N98" s="130"/>
      <c r="O98" s="131"/>
      <c r="P98" s="131"/>
      <c r="Q98" s="131"/>
      <c r="R98" s="131"/>
      <c r="S98" s="131"/>
      <c r="T98" s="131" t="s">
        <v>159</v>
      </c>
      <c r="Y98" s="78"/>
    </row>
    <row r="99" spans="1:25" ht="21.75" customHeight="1">
      <c r="A99" s="125">
        <v>98</v>
      </c>
      <c r="B99" s="126" t="s">
        <v>320</v>
      </c>
      <c r="C99" s="127"/>
      <c r="D99" s="127"/>
      <c r="E99" s="128">
        <v>75340064</v>
      </c>
      <c r="F99" s="134"/>
      <c r="G99" s="122" t="s">
        <v>167</v>
      </c>
      <c r="H99" s="123">
        <v>46297</v>
      </c>
      <c r="I99" s="124" t="s">
        <v>42</v>
      </c>
      <c r="J99" s="122"/>
      <c r="K99" s="122"/>
      <c r="L99" s="129"/>
      <c r="M99" s="122"/>
      <c r="N99" s="130"/>
      <c r="O99" s="131"/>
      <c r="P99" s="131"/>
      <c r="Q99" s="131"/>
      <c r="R99" s="131"/>
      <c r="S99" s="131"/>
      <c r="T99" s="131" t="s">
        <v>159</v>
      </c>
      <c r="Y99" s="78"/>
    </row>
    <row r="100" spans="1:25" ht="21.75" customHeight="1">
      <c r="A100" s="125">
        <v>99</v>
      </c>
      <c r="B100" s="126" t="s">
        <v>321</v>
      </c>
      <c r="C100" s="127"/>
      <c r="D100" s="127"/>
      <c r="E100" s="128">
        <v>74745252</v>
      </c>
      <c r="F100" s="134"/>
      <c r="G100" s="122" t="s">
        <v>167</v>
      </c>
      <c r="H100" s="123">
        <v>46297</v>
      </c>
      <c r="I100" s="124" t="s">
        <v>44</v>
      </c>
      <c r="J100" s="122" t="s">
        <v>170</v>
      </c>
      <c r="K100" s="122" t="s">
        <v>156</v>
      </c>
      <c r="L100" s="129"/>
      <c r="M100" s="122"/>
      <c r="N100" s="130"/>
      <c r="O100" s="131"/>
      <c r="P100" s="131"/>
      <c r="Q100" s="131"/>
      <c r="R100" s="131"/>
      <c r="S100" s="131"/>
      <c r="T100" s="131" t="s">
        <v>159</v>
      </c>
      <c r="Y100" s="78"/>
    </row>
    <row r="101" spans="1:25" ht="21.75" customHeight="1">
      <c r="A101" s="125">
        <v>100</v>
      </c>
      <c r="B101" s="126" t="s">
        <v>322</v>
      </c>
      <c r="C101" s="127"/>
      <c r="D101" s="127"/>
      <c r="E101" s="128">
        <v>72140909</v>
      </c>
      <c r="F101" s="146" t="s">
        <v>323</v>
      </c>
      <c r="G101" s="122" t="s">
        <v>167</v>
      </c>
      <c r="H101" s="123">
        <v>46297</v>
      </c>
      <c r="I101" s="124" t="s">
        <v>42</v>
      </c>
      <c r="J101" s="122"/>
      <c r="K101" s="122"/>
      <c r="L101" s="129"/>
      <c r="M101" s="122"/>
      <c r="N101" s="130"/>
      <c r="O101" s="131"/>
      <c r="P101" s="131"/>
      <c r="Q101" s="131"/>
      <c r="R101" s="131"/>
      <c r="S101" s="131"/>
      <c r="T101" s="131" t="s">
        <v>159</v>
      </c>
      <c r="Y101" s="78"/>
    </row>
    <row r="102" spans="1:25" ht="21.75" customHeight="1">
      <c r="A102" s="125">
        <v>101</v>
      </c>
      <c r="B102" s="126" t="s">
        <v>324</v>
      </c>
      <c r="C102" s="127"/>
      <c r="D102" s="127"/>
      <c r="E102" s="128">
        <v>77258080</v>
      </c>
      <c r="F102" s="146" t="s">
        <v>325</v>
      </c>
      <c r="G102" s="122" t="s">
        <v>167</v>
      </c>
      <c r="H102" s="123">
        <v>46297</v>
      </c>
      <c r="I102" s="124" t="s">
        <v>42</v>
      </c>
      <c r="J102" s="122"/>
      <c r="K102" s="122"/>
      <c r="L102" s="129"/>
      <c r="M102" s="122"/>
      <c r="N102" s="130"/>
      <c r="O102" s="131"/>
      <c r="P102" s="131"/>
      <c r="Q102" s="131"/>
      <c r="R102" s="131"/>
      <c r="S102" s="131"/>
      <c r="T102" s="131" t="s">
        <v>159</v>
      </c>
      <c r="Y102" s="78"/>
    </row>
    <row r="103" spans="1:25" ht="21.75" customHeight="1">
      <c r="A103" s="125">
        <v>102</v>
      </c>
      <c r="B103" s="126" t="s">
        <v>326</v>
      </c>
      <c r="C103" s="127"/>
      <c r="D103" s="127"/>
      <c r="E103" s="128">
        <v>79074522</v>
      </c>
      <c r="F103" s="146" t="s">
        <v>327</v>
      </c>
      <c r="G103" s="122" t="s">
        <v>167</v>
      </c>
      <c r="H103" s="123">
        <v>46297</v>
      </c>
      <c r="I103" s="124" t="s">
        <v>42</v>
      </c>
      <c r="J103" s="122"/>
      <c r="K103" s="122"/>
      <c r="L103" s="129"/>
      <c r="M103" s="122"/>
      <c r="N103" s="130"/>
      <c r="O103" s="131"/>
      <c r="P103" s="131"/>
      <c r="Q103" s="131"/>
      <c r="R103" s="131"/>
      <c r="S103" s="131"/>
      <c r="T103" s="131" t="s">
        <v>159</v>
      </c>
      <c r="Y103" s="78"/>
    </row>
    <row r="104" spans="1:25" ht="21.75" customHeight="1">
      <c r="A104" s="125">
        <v>103</v>
      </c>
      <c r="B104" s="126" t="s">
        <v>328</v>
      </c>
      <c r="C104" s="127"/>
      <c r="D104" s="127"/>
      <c r="E104" s="128">
        <v>71121272</v>
      </c>
      <c r="F104" s="134" t="s">
        <v>153</v>
      </c>
      <c r="G104" s="122" t="s">
        <v>167</v>
      </c>
      <c r="H104" s="123">
        <v>46297</v>
      </c>
      <c r="I104" s="124" t="s">
        <v>42</v>
      </c>
      <c r="J104" s="122"/>
      <c r="K104" s="122"/>
      <c r="L104" s="129"/>
      <c r="M104" s="122"/>
      <c r="N104" s="130"/>
      <c r="O104" s="131"/>
      <c r="P104" s="131"/>
      <c r="Q104" s="131"/>
      <c r="R104" s="131"/>
      <c r="S104" s="131"/>
      <c r="T104" s="131" t="s">
        <v>159</v>
      </c>
      <c r="Y104" s="78"/>
    </row>
    <row r="105" spans="1:25" ht="21.75" customHeight="1">
      <c r="A105" s="125">
        <v>104</v>
      </c>
      <c r="B105" s="126" t="s">
        <v>329</v>
      </c>
      <c r="C105" s="127"/>
      <c r="D105" s="127"/>
      <c r="E105" s="128">
        <v>78979999</v>
      </c>
      <c r="F105" s="134" t="s">
        <v>153</v>
      </c>
      <c r="G105" s="122" t="s">
        <v>167</v>
      </c>
      <c r="H105" s="123">
        <v>46297</v>
      </c>
      <c r="I105" s="124" t="s">
        <v>42</v>
      </c>
      <c r="J105" s="122"/>
      <c r="K105" s="122"/>
      <c r="L105" s="129"/>
      <c r="M105" s="122"/>
      <c r="N105" s="130"/>
      <c r="O105" s="131"/>
      <c r="P105" s="131"/>
      <c r="Q105" s="131"/>
      <c r="R105" s="131"/>
      <c r="S105" s="131"/>
      <c r="T105" s="131" t="s">
        <v>159</v>
      </c>
      <c r="Y105" s="78"/>
    </row>
    <row r="106" spans="1:25" ht="21.75" customHeight="1">
      <c r="A106" s="125">
        <v>105</v>
      </c>
      <c r="B106" s="126" t="s">
        <v>330</v>
      </c>
      <c r="C106" s="127"/>
      <c r="D106" s="127"/>
      <c r="E106" s="128">
        <v>78789615</v>
      </c>
      <c r="F106" s="134" t="s">
        <v>153</v>
      </c>
      <c r="G106" s="122" t="s">
        <v>167</v>
      </c>
      <c r="H106" s="123">
        <v>46297</v>
      </c>
      <c r="I106" s="124" t="s">
        <v>42</v>
      </c>
      <c r="J106" s="122"/>
      <c r="K106" s="122"/>
      <c r="L106" s="129"/>
      <c r="M106" s="122"/>
      <c r="N106" s="130"/>
      <c r="O106" s="131"/>
      <c r="P106" s="131"/>
      <c r="Q106" s="131"/>
      <c r="R106" s="131"/>
      <c r="S106" s="131"/>
      <c r="T106" s="131" t="s">
        <v>159</v>
      </c>
      <c r="Y106" s="78"/>
    </row>
    <row r="107" spans="1:25" ht="21.75" customHeight="1">
      <c r="A107" s="125">
        <v>106</v>
      </c>
      <c r="B107" s="126" t="s">
        <v>331</v>
      </c>
      <c r="C107" s="127"/>
      <c r="D107" s="127"/>
      <c r="E107" s="128">
        <v>75265474</v>
      </c>
      <c r="F107" s="134" t="s">
        <v>153</v>
      </c>
      <c r="G107" s="122" t="s">
        <v>167</v>
      </c>
      <c r="H107" s="123">
        <v>46297</v>
      </c>
      <c r="I107" s="124" t="s">
        <v>42</v>
      </c>
      <c r="J107" s="122"/>
      <c r="K107" s="122"/>
      <c r="L107" s="129"/>
      <c r="M107" s="122"/>
      <c r="N107" s="130"/>
      <c r="O107" s="131"/>
      <c r="P107" s="131"/>
      <c r="Q107" s="131"/>
      <c r="R107" s="131"/>
      <c r="S107" s="131"/>
      <c r="T107" s="131" t="s">
        <v>159</v>
      </c>
      <c r="Y107" s="78"/>
    </row>
    <row r="108" spans="1:25" ht="21.75" customHeight="1">
      <c r="A108" s="125">
        <v>107</v>
      </c>
      <c r="B108" s="126" t="s">
        <v>332</v>
      </c>
      <c r="C108" s="127" t="s">
        <v>333</v>
      </c>
      <c r="D108" s="127" t="s">
        <v>183</v>
      </c>
      <c r="E108" s="128">
        <v>75085210</v>
      </c>
      <c r="F108" s="134" t="s">
        <v>153</v>
      </c>
      <c r="G108" s="122" t="s">
        <v>167</v>
      </c>
      <c r="H108" s="123">
        <v>46297</v>
      </c>
      <c r="I108" s="124" t="s">
        <v>44</v>
      </c>
      <c r="J108" s="122" t="s">
        <v>170</v>
      </c>
      <c r="K108" s="122" t="s">
        <v>156</v>
      </c>
      <c r="L108" s="147">
        <v>46301</v>
      </c>
      <c r="M108" s="122"/>
      <c r="N108" s="130"/>
      <c r="O108" s="131"/>
      <c r="P108" s="131"/>
      <c r="Q108" s="131"/>
      <c r="R108" s="131"/>
      <c r="S108" s="131"/>
      <c r="T108" s="131" t="s">
        <v>159</v>
      </c>
      <c r="Y108" s="78"/>
    </row>
    <row r="109" spans="1:25" ht="21.75" customHeight="1">
      <c r="A109" s="125">
        <v>108</v>
      </c>
      <c r="B109" s="126" t="s">
        <v>334</v>
      </c>
      <c r="C109" s="127"/>
      <c r="D109" s="127" t="s">
        <v>253</v>
      </c>
      <c r="E109" s="128">
        <v>70787810</v>
      </c>
      <c r="F109" s="134" t="s">
        <v>153</v>
      </c>
      <c r="G109" s="122" t="s">
        <v>167</v>
      </c>
      <c r="H109" s="123">
        <v>46297</v>
      </c>
      <c r="I109" s="124" t="s">
        <v>44</v>
      </c>
      <c r="J109" s="122" t="s">
        <v>170</v>
      </c>
      <c r="K109" s="122" t="s">
        <v>156</v>
      </c>
      <c r="L109" s="147">
        <v>46300</v>
      </c>
      <c r="M109" s="122"/>
      <c r="N109" s="130"/>
      <c r="O109" s="131"/>
      <c r="P109" s="131"/>
      <c r="Q109" s="131"/>
      <c r="R109" s="131"/>
      <c r="S109" s="131"/>
      <c r="T109" s="131" t="s">
        <v>159</v>
      </c>
      <c r="Y109" s="78"/>
    </row>
    <row r="110" spans="1:25" ht="21.75" customHeight="1">
      <c r="A110" s="125">
        <v>109</v>
      </c>
      <c r="B110" s="126" t="s">
        <v>335</v>
      </c>
      <c r="C110" s="127"/>
      <c r="D110" s="127"/>
      <c r="E110" s="128">
        <v>70601414</v>
      </c>
      <c r="F110" s="134" t="s">
        <v>153</v>
      </c>
      <c r="G110" s="122" t="s">
        <v>167</v>
      </c>
      <c r="H110" s="123">
        <v>46297</v>
      </c>
      <c r="I110" s="124" t="s">
        <v>42</v>
      </c>
      <c r="J110" s="122"/>
      <c r="K110" s="122"/>
      <c r="L110" s="129"/>
      <c r="M110" s="122"/>
      <c r="N110" s="130"/>
      <c r="O110" s="131"/>
      <c r="P110" s="131"/>
      <c r="Q110" s="131"/>
      <c r="R110" s="131"/>
      <c r="S110" s="131"/>
      <c r="T110" s="131" t="s">
        <v>159</v>
      </c>
      <c r="Y110" s="78"/>
    </row>
    <row r="111" spans="1:25" ht="21.75" customHeight="1">
      <c r="A111" s="125">
        <v>110</v>
      </c>
      <c r="B111" s="126" t="s">
        <v>336</v>
      </c>
      <c r="C111" s="127"/>
      <c r="D111" s="127"/>
      <c r="E111" s="128">
        <v>60612525</v>
      </c>
      <c r="F111" s="134" t="s">
        <v>153</v>
      </c>
      <c r="G111" s="122" t="s">
        <v>167</v>
      </c>
      <c r="H111" s="123">
        <v>46297</v>
      </c>
      <c r="I111" s="124" t="s">
        <v>42</v>
      </c>
      <c r="J111" s="122"/>
      <c r="K111" s="122"/>
      <c r="L111" s="129"/>
      <c r="M111" s="122"/>
      <c r="N111" s="130"/>
      <c r="O111" s="131"/>
      <c r="P111" s="131"/>
      <c r="Q111" s="131"/>
      <c r="R111" s="131"/>
      <c r="S111" s="131"/>
      <c r="T111" s="131" t="s">
        <v>159</v>
      </c>
      <c r="Y111" s="78"/>
    </row>
    <row r="112" spans="1:25" ht="21.75" customHeight="1">
      <c r="A112" s="125">
        <v>111</v>
      </c>
      <c r="B112" s="126" t="s">
        <v>337</v>
      </c>
      <c r="C112" s="127"/>
      <c r="D112" s="127"/>
      <c r="E112" s="128">
        <v>75157070</v>
      </c>
      <c r="F112" s="134" t="s">
        <v>153</v>
      </c>
      <c r="G112" s="122" t="s">
        <v>167</v>
      </c>
      <c r="H112" s="123">
        <v>46297</v>
      </c>
      <c r="I112" s="124" t="s">
        <v>44</v>
      </c>
      <c r="J112" s="122" t="s">
        <v>170</v>
      </c>
      <c r="K112" s="122" t="s">
        <v>156</v>
      </c>
      <c r="L112" s="147">
        <v>46300</v>
      </c>
      <c r="M112" s="122"/>
      <c r="N112" s="130"/>
      <c r="O112" s="131"/>
      <c r="P112" s="131"/>
      <c r="Q112" s="131"/>
      <c r="R112" s="131"/>
      <c r="S112" s="131"/>
      <c r="T112" s="131" t="s">
        <v>159</v>
      </c>
      <c r="Y112" s="78"/>
    </row>
    <row r="113" spans="1:25" ht="21.75" customHeight="1">
      <c r="A113" s="125">
        <v>112</v>
      </c>
      <c r="B113" s="126" t="s">
        <v>338</v>
      </c>
      <c r="C113" s="127"/>
      <c r="D113" s="127"/>
      <c r="E113" s="128">
        <v>74257630</v>
      </c>
      <c r="F113" s="134" t="s">
        <v>153</v>
      </c>
      <c r="G113" s="122" t="s">
        <v>167</v>
      </c>
      <c r="H113" s="123">
        <v>46297</v>
      </c>
      <c r="I113" s="124" t="s">
        <v>42</v>
      </c>
      <c r="J113" s="122"/>
      <c r="K113" s="122"/>
      <c r="L113" s="129"/>
      <c r="M113" s="122"/>
      <c r="N113" s="130"/>
      <c r="O113" s="131"/>
      <c r="P113" s="131"/>
      <c r="Q113" s="131"/>
      <c r="R113" s="131"/>
      <c r="S113" s="131"/>
      <c r="T113" s="131" t="s">
        <v>159</v>
      </c>
      <c r="Y113" s="78"/>
    </row>
    <row r="114" spans="1:25" ht="21.75" customHeight="1">
      <c r="A114" s="125">
        <v>113</v>
      </c>
      <c r="B114" s="126" t="s">
        <v>339</v>
      </c>
      <c r="C114" s="127"/>
      <c r="D114" s="127"/>
      <c r="E114" s="128">
        <v>77299292</v>
      </c>
      <c r="F114" s="134" t="s">
        <v>153</v>
      </c>
      <c r="G114" s="122" t="s">
        <v>167</v>
      </c>
      <c r="H114" s="123">
        <v>46297</v>
      </c>
      <c r="I114" s="124" t="s">
        <v>42</v>
      </c>
      <c r="J114" s="122"/>
      <c r="K114" s="122"/>
      <c r="L114" s="129"/>
      <c r="M114" s="122"/>
      <c r="N114" s="130"/>
      <c r="O114" s="131"/>
      <c r="P114" s="131"/>
      <c r="Q114" s="131"/>
      <c r="R114" s="131"/>
      <c r="S114" s="131"/>
      <c r="T114" s="131" t="s">
        <v>159</v>
      </c>
      <c r="Y114" s="78"/>
    </row>
    <row r="115" spans="1:25" ht="21.75" customHeight="1">
      <c r="A115" s="125">
        <v>114</v>
      </c>
      <c r="B115" s="126" t="s">
        <v>340</v>
      </c>
      <c r="C115" s="127"/>
      <c r="D115" s="127"/>
      <c r="E115" s="128">
        <v>62666699</v>
      </c>
      <c r="F115" s="134" t="s">
        <v>153</v>
      </c>
      <c r="G115" s="122" t="s">
        <v>167</v>
      </c>
      <c r="H115" s="123">
        <v>46297</v>
      </c>
      <c r="I115" s="124" t="s">
        <v>42</v>
      </c>
      <c r="J115" s="122"/>
      <c r="K115" s="122"/>
      <c r="L115" s="129"/>
      <c r="M115" s="122"/>
      <c r="N115" s="130"/>
      <c r="O115" s="131"/>
      <c r="P115" s="131"/>
      <c r="Q115" s="131"/>
      <c r="R115" s="131"/>
      <c r="S115" s="131"/>
      <c r="T115" s="131" t="s">
        <v>159</v>
      </c>
      <c r="Y115" s="78"/>
    </row>
    <row r="116" spans="1:25" ht="21.75" customHeight="1">
      <c r="A116" s="125">
        <v>115</v>
      </c>
      <c r="B116" s="126" t="s">
        <v>341</v>
      </c>
      <c r="C116" s="127"/>
      <c r="D116" s="127"/>
      <c r="E116" s="128">
        <v>20217660</v>
      </c>
      <c r="F116" s="134" t="s">
        <v>153</v>
      </c>
      <c r="G116" s="122" t="s">
        <v>167</v>
      </c>
      <c r="H116" s="123">
        <v>46297</v>
      </c>
      <c r="I116" s="124" t="s">
        <v>42</v>
      </c>
      <c r="J116" s="122"/>
      <c r="K116" s="122"/>
      <c r="L116" s="129"/>
      <c r="M116" s="122"/>
      <c r="N116" s="130"/>
      <c r="O116" s="131"/>
      <c r="P116" s="131"/>
      <c r="Q116" s="131"/>
      <c r="R116" s="131"/>
      <c r="S116" s="131"/>
      <c r="T116" s="131" t="s">
        <v>159</v>
      </c>
      <c r="Y116" s="78"/>
    </row>
    <row r="117" spans="1:25" ht="21.75" customHeight="1">
      <c r="A117" s="125">
        <v>116</v>
      </c>
      <c r="B117" s="126" t="s">
        <v>342</v>
      </c>
      <c r="C117" s="127"/>
      <c r="D117" s="148"/>
      <c r="E117" s="128">
        <v>71309322</v>
      </c>
      <c r="F117" s="146" t="s">
        <v>343</v>
      </c>
      <c r="G117" s="122" t="s">
        <v>314</v>
      </c>
      <c r="H117" s="123">
        <v>46300</v>
      </c>
      <c r="I117" s="124" t="s">
        <v>42</v>
      </c>
      <c r="J117" s="122"/>
      <c r="K117" s="122"/>
      <c r="L117" s="129"/>
      <c r="M117" s="122"/>
      <c r="N117" s="130"/>
      <c r="O117" s="131"/>
      <c r="P117" s="131"/>
      <c r="Q117" s="131"/>
      <c r="R117" s="131"/>
      <c r="S117" s="131"/>
      <c r="T117" s="131" t="s">
        <v>159</v>
      </c>
      <c r="Y117" s="78"/>
    </row>
    <row r="118" spans="1:25" ht="21.75" customHeight="1">
      <c r="A118" s="125">
        <v>117</v>
      </c>
      <c r="B118" s="126" t="s">
        <v>344</v>
      </c>
      <c r="C118" s="127"/>
      <c r="D118" s="127"/>
      <c r="E118" s="128">
        <v>70082323</v>
      </c>
      <c r="F118" s="146" t="s">
        <v>345</v>
      </c>
      <c r="G118" s="122" t="s">
        <v>167</v>
      </c>
      <c r="H118" s="123">
        <v>46300</v>
      </c>
      <c r="I118" s="124" t="s">
        <v>42</v>
      </c>
      <c r="J118" s="122"/>
      <c r="K118" s="122"/>
      <c r="L118" s="129"/>
      <c r="M118" s="122"/>
      <c r="N118" s="130"/>
      <c r="O118" s="131"/>
      <c r="P118" s="131"/>
      <c r="Q118" s="131"/>
      <c r="R118" s="131"/>
      <c r="S118" s="131"/>
      <c r="T118" s="131" t="s">
        <v>159</v>
      </c>
      <c r="Y118" s="78"/>
    </row>
    <row r="119" spans="1:25" ht="21.75" customHeight="1">
      <c r="A119" s="125">
        <v>118</v>
      </c>
      <c r="B119" s="126" t="s">
        <v>346</v>
      </c>
      <c r="C119" s="127"/>
      <c r="D119" s="127"/>
      <c r="E119" s="128">
        <v>76892547</v>
      </c>
      <c r="F119" s="146" t="s">
        <v>347</v>
      </c>
      <c r="G119" s="122" t="s">
        <v>167</v>
      </c>
      <c r="H119" s="123">
        <v>46300</v>
      </c>
      <c r="I119" s="124" t="s">
        <v>42</v>
      </c>
      <c r="J119" s="122"/>
      <c r="K119" s="122"/>
      <c r="L119" s="129"/>
      <c r="M119" s="122"/>
      <c r="N119" s="130"/>
      <c r="O119" s="131"/>
      <c r="P119" s="131"/>
      <c r="Q119" s="131"/>
      <c r="R119" s="131"/>
      <c r="S119" s="131"/>
      <c r="T119" s="131" t="s">
        <v>159</v>
      </c>
      <c r="Y119" s="78"/>
    </row>
    <row r="120" spans="1:25" ht="21.75" customHeight="1">
      <c r="A120" s="125">
        <v>119</v>
      </c>
      <c r="B120" s="126" t="s">
        <v>348</v>
      </c>
      <c r="C120" s="127"/>
      <c r="D120" s="127"/>
      <c r="E120" s="128">
        <v>74740250</v>
      </c>
      <c r="F120" s="146" t="s">
        <v>349</v>
      </c>
      <c r="G120" s="122" t="s">
        <v>167</v>
      </c>
      <c r="H120" s="123">
        <v>46300</v>
      </c>
      <c r="I120" s="124" t="s">
        <v>42</v>
      </c>
      <c r="J120" s="122"/>
      <c r="K120" s="122"/>
      <c r="L120" s="129"/>
      <c r="M120" s="122"/>
      <c r="N120" s="130"/>
      <c r="O120" s="131"/>
      <c r="P120" s="131"/>
      <c r="Q120" s="131"/>
      <c r="R120" s="131"/>
      <c r="S120" s="131"/>
      <c r="T120" s="131" t="s">
        <v>159</v>
      </c>
      <c r="Y120" s="78"/>
    </row>
    <row r="121" spans="1:25" ht="21.75" customHeight="1">
      <c r="A121" s="125">
        <v>120</v>
      </c>
      <c r="B121" s="126" t="s">
        <v>350</v>
      </c>
      <c r="C121" s="127"/>
      <c r="D121" s="127"/>
      <c r="E121" s="128">
        <v>77537000</v>
      </c>
      <c r="F121" s="134" t="s">
        <v>153</v>
      </c>
      <c r="G121" s="122" t="s">
        <v>167</v>
      </c>
      <c r="H121" s="123">
        <v>46300</v>
      </c>
      <c r="I121" s="124" t="s">
        <v>42</v>
      </c>
      <c r="J121" s="122"/>
      <c r="K121" s="122"/>
      <c r="L121" s="129"/>
      <c r="M121" s="122"/>
      <c r="N121" s="130"/>
      <c r="O121" s="131"/>
      <c r="P121" s="131"/>
      <c r="Q121" s="131"/>
      <c r="R121" s="131"/>
      <c r="S121" s="131"/>
      <c r="T121" s="131" t="s">
        <v>159</v>
      </c>
      <c r="Y121" s="78"/>
    </row>
    <row r="122" spans="1:25" ht="21.75" customHeight="1">
      <c r="A122" s="125">
        <v>121</v>
      </c>
      <c r="B122" s="126" t="s">
        <v>351</v>
      </c>
      <c r="C122" s="127"/>
      <c r="D122" s="127"/>
      <c r="E122" s="128">
        <v>72785676</v>
      </c>
      <c r="F122" s="134" t="s">
        <v>153</v>
      </c>
      <c r="G122" s="122" t="s">
        <v>167</v>
      </c>
      <c r="H122" s="123">
        <v>46300</v>
      </c>
      <c r="I122" s="124" t="s">
        <v>42</v>
      </c>
      <c r="J122" s="122"/>
      <c r="K122" s="122"/>
      <c r="L122" s="129"/>
      <c r="M122" s="122"/>
      <c r="N122" s="130"/>
      <c r="O122" s="131"/>
      <c r="P122" s="131"/>
      <c r="Q122" s="131"/>
      <c r="R122" s="131"/>
      <c r="S122" s="131"/>
      <c r="T122" s="131" t="s">
        <v>159</v>
      </c>
      <c r="Y122" s="78"/>
    </row>
    <row r="123" spans="1:25" ht="21.75" customHeight="1">
      <c r="A123" s="125">
        <v>122</v>
      </c>
      <c r="B123" s="126" t="s">
        <v>352</v>
      </c>
      <c r="C123" s="127"/>
      <c r="D123" s="127"/>
      <c r="E123" s="128">
        <v>84888885</v>
      </c>
      <c r="F123" s="134" t="s">
        <v>153</v>
      </c>
      <c r="G123" s="122" t="s">
        <v>167</v>
      </c>
      <c r="H123" s="123">
        <v>46300</v>
      </c>
      <c r="I123" s="124" t="s">
        <v>42</v>
      </c>
      <c r="J123" s="122"/>
      <c r="K123" s="122"/>
      <c r="L123" s="129"/>
      <c r="M123" s="122"/>
      <c r="N123" s="130"/>
      <c r="O123" s="131"/>
      <c r="P123" s="131"/>
      <c r="Q123" s="131"/>
      <c r="R123" s="131"/>
      <c r="S123" s="131"/>
      <c r="T123" s="131" t="s">
        <v>159</v>
      </c>
      <c r="Y123" s="78"/>
    </row>
    <row r="124" spans="1:25" ht="21.75" customHeight="1">
      <c r="A124" s="125">
        <v>113</v>
      </c>
      <c r="B124" s="126" t="s">
        <v>353</v>
      </c>
      <c r="C124" s="127"/>
      <c r="D124" s="127"/>
      <c r="E124" s="128">
        <v>90017199</v>
      </c>
      <c r="F124" s="134" t="s">
        <v>153</v>
      </c>
      <c r="G124" s="122" t="s">
        <v>167</v>
      </c>
      <c r="H124" s="123">
        <v>46300</v>
      </c>
      <c r="I124" s="124" t="s">
        <v>42</v>
      </c>
      <c r="J124" s="122"/>
      <c r="K124" s="122"/>
      <c r="L124" s="129"/>
      <c r="M124" s="122"/>
      <c r="N124" s="130"/>
      <c r="O124" s="131"/>
      <c r="P124" s="131"/>
      <c r="Q124" s="131"/>
      <c r="R124" s="131"/>
      <c r="S124" s="131"/>
      <c r="T124" s="131" t="s">
        <v>159</v>
      </c>
      <c r="Y124" s="78"/>
    </row>
    <row r="125" spans="1:25" ht="21.75" customHeight="1">
      <c r="A125" s="125">
        <v>114</v>
      </c>
      <c r="B125" s="126" t="s">
        <v>354</v>
      </c>
      <c r="C125" s="127"/>
      <c r="D125" s="127"/>
      <c r="E125" s="128">
        <v>70785050</v>
      </c>
      <c r="F125" s="134" t="s">
        <v>153</v>
      </c>
      <c r="G125" s="122" t="s">
        <v>167</v>
      </c>
      <c r="H125" s="123">
        <v>46300</v>
      </c>
      <c r="I125" s="124" t="s">
        <v>42</v>
      </c>
      <c r="J125" s="122"/>
      <c r="K125" s="122"/>
      <c r="L125" s="129"/>
      <c r="M125" s="122"/>
      <c r="N125" s="130"/>
      <c r="O125" s="131"/>
      <c r="P125" s="131"/>
      <c r="Q125" s="131"/>
      <c r="R125" s="131"/>
      <c r="S125" s="131"/>
      <c r="T125" s="131" t="s">
        <v>159</v>
      </c>
      <c r="Y125" s="78"/>
    </row>
    <row r="126" spans="1:25" ht="21.75" customHeight="1">
      <c r="A126" s="125">
        <v>115</v>
      </c>
      <c r="B126" s="126" t="s">
        <v>355</v>
      </c>
      <c r="C126" s="127"/>
      <c r="D126" s="127"/>
      <c r="E126" s="128">
        <v>20215200</v>
      </c>
      <c r="F126" s="134" t="s">
        <v>153</v>
      </c>
      <c r="G126" s="122" t="s">
        <v>167</v>
      </c>
      <c r="H126" s="123">
        <v>46300</v>
      </c>
      <c r="I126" s="124" t="s">
        <v>42</v>
      </c>
      <c r="J126" s="122"/>
      <c r="K126" s="122"/>
      <c r="L126" s="129"/>
      <c r="M126" s="122"/>
      <c r="N126" s="130"/>
      <c r="O126" s="131"/>
      <c r="P126" s="131"/>
      <c r="Q126" s="131"/>
      <c r="R126" s="131"/>
      <c r="S126" s="131"/>
      <c r="T126" s="131" t="s">
        <v>159</v>
      </c>
      <c r="Y126" s="78"/>
    </row>
    <row r="127" spans="1:25" ht="21.75" customHeight="1">
      <c r="A127" s="125">
        <v>116</v>
      </c>
      <c r="B127" s="126" t="s">
        <v>356</v>
      </c>
      <c r="C127" s="127"/>
      <c r="D127" s="127"/>
      <c r="E127" s="128">
        <v>73650128</v>
      </c>
      <c r="F127" s="134" t="s">
        <v>153</v>
      </c>
      <c r="G127" s="122" t="s">
        <v>167</v>
      </c>
      <c r="H127" s="123">
        <v>46300</v>
      </c>
      <c r="I127" s="124" t="s">
        <v>42</v>
      </c>
      <c r="J127" s="122"/>
      <c r="K127" s="122"/>
      <c r="L127" s="129"/>
      <c r="M127" s="122"/>
      <c r="N127" s="130"/>
      <c r="O127" s="131"/>
      <c r="P127" s="131"/>
      <c r="Q127" s="131"/>
      <c r="R127" s="131"/>
      <c r="S127" s="131"/>
      <c r="T127" s="131" t="s">
        <v>159</v>
      </c>
      <c r="Y127" s="78"/>
    </row>
    <row r="128" spans="1:25" ht="21.75" customHeight="1">
      <c r="A128" s="125">
        <v>117</v>
      </c>
      <c r="B128" s="126" t="s">
        <v>357</v>
      </c>
      <c r="C128" s="127"/>
      <c r="D128" s="127"/>
      <c r="E128" s="128">
        <v>98989814</v>
      </c>
      <c r="F128" s="134" t="s">
        <v>153</v>
      </c>
      <c r="G128" s="122" t="s">
        <v>101</v>
      </c>
      <c r="H128" s="123">
        <v>46301</v>
      </c>
      <c r="I128" s="124" t="s">
        <v>42</v>
      </c>
      <c r="J128" s="122"/>
      <c r="K128" s="122"/>
      <c r="L128" s="129"/>
      <c r="M128" s="122"/>
      <c r="N128" s="130"/>
      <c r="O128" s="131"/>
      <c r="P128" s="131"/>
      <c r="Q128" s="131"/>
      <c r="R128" s="131"/>
      <c r="S128" s="131"/>
      <c r="T128" s="131" t="s">
        <v>159</v>
      </c>
      <c r="Y128" s="78"/>
    </row>
    <row r="129" spans="1:25" ht="21.75" customHeight="1">
      <c r="A129" s="125">
        <v>178</v>
      </c>
      <c r="B129" s="126" t="s">
        <v>358</v>
      </c>
      <c r="C129" s="127"/>
      <c r="D129" s="127"/>
      <c r="E129" s="128"/>
      <c r="F129" s="134" t="s">
        <v>153</v>
      </c>
      <c r="G129" s="122"/>
      <c r="H129" s="123">
        <v>46301</v>
      </c>
      <c r="I129" s="124" t="s">
        <v>42</v>
      </c>
      <c r="J129" s="122"/>
      <c r="K129" s="122"/>
      <c r="L129" s="129"/>
      <c r="M129" s="122"/>
      <c r="N129" s="130"/>
      <c r="O129" s="131"/>
      <c r="P129" s="131"/>
      <c r="Q129" s="131"/>
      <c r="R129" s="131"/>
      <c r="S129" s="131"/>
      <c r="T129" s="131" t="s">
        <v>159</v>
      </c>
      <c r="Y129" s="78"/>
    </row>
    <row r="130" spans="1:25" ht="21.75" customHeight="1">
      <c r="A130" s="125">
        <v>179</v>
      </c>
      <c r="B130" s="126" t="s">
        <v>359</v>
      </c>
      <c r="C130" s="127"/>
      <c r="D130" s="127"/>
      <c r="E130" s="128">
        <v>20298801</v>
      </c>
      <c r="F130" s="134" t="s">
        <v>153</v>
      </c>
      <c r="G130" s="122" t="s">
        <v>167</v>
      </c>
      <c r="H130" s="123">
        <v>46301</v>
      </c>
      <c r="I130" s="124" t="s">
        <v>42</v>
      </c>
      <c r="J130" s="122"/>
      <c r="K130" s="122"/>
      <c r="L130" s="129"/>
      <c r="M130" s="122"/>
      <c r="N130" s="130"/>
      <c r="O130" s="131"/>
      <c r="P130" s="131"/>
      <c r="Q130" s="131"/>
      <c r="R130" s="131"/>
      <c r="S130" s="131"/>
      <c r="T130" s="131" t="s">
        <v>159</v>
      </c>
      <c r="Y130" s="78"/>
    </row>
    <row r="131" spans="1:25" ht="21.75" customHeight="1">
      <c r="A131" s="125">
        <v>180</v>
      </c>
      <c r="B131" s="126" t="s">
        <v>360</v>
      </c>
      <c r="C131" s="127"/>
      <c r="D131" s="127"/>
      <c r="E131" s="128">
        <v>20213715</v>
      </c>
      <c r="F131" s="134" t="s">
        <v>153</v>
      </c>
      <c r="G131" s="122" t="s">
        <v>167</v>
      </c>
      <c r="H131" s="123">
        <v>46301</v>
      </c>
      <c r="I131" s="124" t="s">
        <v>42</v>
      </c>
      <c r="J131" s="122"/>
      <c r="K131" s="122"/>
      <c r="L131" s="129"/>
      <c r="M131" s="122"/>
      <c r="N131" s="130"/>
      <c r="O131" s="131"/>
      <c r="P131" s="131"/>
      <c r="Q131" s="131"/>
      <c r="R131" s="131"/>
      <c r="S131" s="131"/>
      <c r="T131" s="131" t="s">
        <v>159</v>
      </c>
      <c r="Y131" s="78"/>
    </row>
    <row r="132" spans="1:25" ht="21.75" customHeight="1">
      <c r="A132" s="125">
        <v>181</v>
      </c>
      <c r="B132" s="126" t="s">
        <v>361</v>
      </c>
      <c r="C132" s="127"/>
      <c r="D132" s="127"/>
      <c r="E132" s="128">
        <v>20232828</v>
      </c>
      <c r="F132" s="134" t="s">
        <v>153</v>
      </c>
      <c r="G132" s="122" t="s">
        <v>167</v>
      </c>
      <c r="H132" s="123">
        <v>46302</v>
      </c>
      <c r="I132" s="124" t="s">
        <v>42</v>
      </c>
      <c r="J132" s="122"/>
      <c r="K132" s="122"/>
      <c r="L132" s="129"/>
      <c r="M132" s="122"/>
      <c r="N132" s="130"/>
      <c r="O132" s="131"/>
      <c r="P132" s="131"/>
      <c r="Q132" s="131"/>
      <c r="R132" s="131"/>
      <c r="S132" s="131"/>
      <c r="T132" s="131" t="s">
        <v>159</v>
      </c>
      <c r="Y132" s="78"/>
    </row>
    <row r="133" spans="1:25" ht="21.75" customHeight="1">
      <c r="A133" s="125">
        <v>182</v>
      </c>
      <c r="B133" s="126" t="s">
        <v>362</v>
      </c>
      <c r="C133" s="127"/>
      <c r="D133" s="127"/>
      <c r="E133" s="128"/>
      <c r="F133" s="134" t="s">
        <v>153</v>
      </c>
      <c r="G133" s="122"/>
      <c r="H133" s="123">
        <v>46302</v>
      </c>
      <c r="I133" s="124"/>
      <c r="J133" s="122"/>
      <c r="K133" s="122"/>
      <c r="L133" s="129"/>
      <c r="M133" s="122"/>
      <c r="N133" s="130"/>
      <c r="O133" s="131"/>
      <c r="P133" s="131"/>
      <c r="Q133" s="131"/>
      <c r="R133" s="131"/>
      <c r="S133" s="131"/>
      <c r="T133" s="131" t="s">
        <v>159</v>
      </c>
      <c r="Y133" s="78"/>
    </row>
    <row r="134" spans="1:25" ht="21.75" customHeight="1">
      <c r="A134" s="125">
        <v>183</v>
      </c>
      <c r="B134" s="126" t="s">
        <v>363</v>
      </c>
      <c r="C134" s="127"/>
      <c r="D134" s="127"/>
      <c r="E134" s="128"/>
      <c r="F134" s="134" t="s">
        <v>153</v>
      </c>
      <c r="G134" s="122"/>
      <c r="H134" s="123">
        <v>46302</v>
      </c>
      <c r="I134" s="124"/>
      <c r="J134" s="122"/>
      <c r="K134" s="122"/>
      <c r="L134" s="129"/>
      <c r="M134" s="122"/>
      <c r="N134" s="130"/>
      <c r="O134" s="131"/>
      <c r="P134" s="131"/>
      <c r="Q134" s="131"/>
      <c r="R134" s="131"/>
      <c r="S134" s="131"/>
      <c r="T134" s="131" t="s">
        <v>159</v>
      </c>
      <c r="Y134" s="78"/>
    </row>
    <row r="135" spans="1:25" ht="21.75" customHeight="1">
      <c r="A135" s="125">
        <v>184</v>
      </c>
      <c r="B135" s="126"/>
      <c r="C135" s="127"/>
      <c r="D135" s="127"/>
      <c r="E135" s="128"/>
      <c r="F135" s="134"/>
      <c r="G135" s="122"/>
      <c r="H135" s="123">
        <v>46302</v>
      </c>
      <c r="I135" s="124"/>
      <c r="J135" s="122"/>
      <c r="K135" s="122"/>
      <c r="L135" s="129"/>
      <c r="M135" s="122"/>
      <c r="N135" s="130"/>
      <c r="O135" s="131"/>
      <c r="P135" s="131"/>
      <c r="Q135" s="131"/>
      <c r="R135" s="131"/>
      <c r="S135" s="131"/>
      <c r="T135" s="131" t="s">
        <v>159</v>
      </c>
      <c r="Y135" s="78"/>
    </row>
    <row r="136" spans="1:25" ht="21.75" customHeight="1">
      <c r="A136" s="125">
        <v>185</v>
      </c>
      <c r="B136" s="126"/>
      <c r="C136" s="127"/>
      <c r="D136" s="127"/>
      <c r="E136" s="128"/>
      <c r="F136" s="134"/>
      <c r="G136" s="122"/>
      <c r="H136" s="123">
        <v>46302</v>
      </c>
      <c r="I136" s="124"/>
      <c r="J136" s="122"/>
      <c r="K136" s="122"/>
      <c r="L136" s="129"/>
      <c r="M136" s="122"/>
      <c r="N136" s="130"/>
      <c r="O136" s="131"/>
      <c r="P136" s="131"/>
      <c r="Q136" s="131"/>
      <c r="R136" s="131"/>
      <c r="S136" s="131"/>
      <c r="T136" s="131" t="s">
        <v>159</v>
      </c>
      <c r="Y136" s="78"/>
    </row>
    <row r="137" spans="1:25" ht="21.75" customHeight="1">
      <c r="A137" s="125">
        <v>186</v>
      </c>
      <c r="B137" s="126"/>
      <c r="C137" s="127"/>
      <c r="D137" s="127"/>
      <c r="E137" s="128"/>
      <c r="F137" s="134"/>
      <c r="G137" s="122"/>
      <c r="H137" s="123">
        <v>46302</v>
      </c>
      <c r="I137" s="124"/>
      <c r="J137" s="122"/>
      <c r="K137" s="122"/>
      <c r="L137" s="129"/>
      <c r="M137" s="122"/>
      <c r="N137" s="130"/>
      <c r="O137" s="131"/>
      <c r="P137" s="131"/>
      <c r="Q137" s="131"/>
      <c r="R137" s="131"/>
      <c r="S137" s="131"/>
      <c r="T137" s="131" t="s">
        <v>159</v>
      </c>
      <c r="Y137" s="78"/>
    </row>
    <row r="138" spans="1:25" ht="21.75" customHeight="1">
      <c r="A138" s="125">
        <v>187</v>
      </c>
      <c r="B138" s="126"/>
      <c r="C138" s="127"/>
      <c r="D138" s="127"/>
      <c r="E138" s="128"/>
      <c r="F138" s="134"/>
      <c r="G138" s="122"/>
      <c r="H138" s="123">
        <v>46302</v>
      </c>
      <c r="I138" s="124"/>
      <c r="J138" s="122"/>
      <c r="K138" s="122"/>
      <c r="L138" s="129"/>
      <c r="M138" s="122"/>
      <c r="N138" s="130"/>
      <c r="O138" s="131"/>
      <c r="P138" s="131"/>
      <c r="Q138" s="131"/>
      <c r="R138" s="131"/>
      <c r="S138" s="131"/>
      <c r="T138" s="131" t="s">
        <v>159</v>
      </c>
      <c r="Y138" s="78"/>
    </row>
    <row r="139" spans="1:25" ht="21.75" customHeight="1">
      <c r="A139" s="125">
        <v>188</v>
      </c>
      <c r="B139" s="126"/>
      <c r="C139" s="127"/>
      <c r="D139" s="127"/>
      <c r="E139" s="128"/>
      <c r="F139" s="134"/>
      <c r="G139" s="122"/>
      <c r="H139" s="123">
        <v>46302</v>
      </c>
      <c r="I139" s="124"/>
      <c r="J139" s="122"/>
      <c r="K139" s="122"/>
      <c r="L139" s="129"/>
      <c r="M139" s="122"/>
      <c r="N139" s="130"/>
      <c r="O139" s="131"/>
      <c r="P139" s="131"/>
      <c r="Q139" s="131"/>
      <c r="R139" s="131"/>
      <c r="S139" s="131"/>
      <c r="T139" s="131" t="s">
        <v>159</v>
      </c>
      <c r="Y139" s="78"/>
    </row>
    <row r="140" spans="1:25" ht="21.75" customHeight="1">
      <c r="A140" s="125">
        <v>189</v>
      </c>
      <c r="B140" s="126"/>
      <c r="C140" s="127"/>
      <c r="D140" s="127"/>
      <c r="E140" s="128"/>
      <c r="F140" s="134"/>
      <c r="G140" s="122"/>
      <c r="H140" s="123">
        <v>46302</v>
      </c>
      <c r="I140" s="124"/>
      <c r="J140" s="122"/>
      <c r="K140" s="122"/>
      <c r="L140" s="129"/>
      <c r="M140" s="122"/>
      <c r="N140" s="130"/>
      <c r="O140" s="131"/>
      <c r="P140" s="131"/>
      <c r="Q140" s="131"/>
      <c r="R140" s="131"/>
      <c r="S140" s="131"/>
      <c r="T140" s="131" t="s">
        <v>159</v>
      </c>
      <c r="Y140" s="78"/>
    </row>
    <row r="141" spans="1:25" ht="21.75" customHeight="1">
      <c r="A141" s="125">
        <v>190</v>
      </c>
      <c r="B141" s="126"/>
      <c r="C141" s="127"/>
      <c r="D141" s="127"/>
      <c r="E141" s="128"/>
      <c r="F141" s="134"/>
      <c r="G141" s="122"/>
      <c r="H141" s="123">
        <v>46302</v>
      </c>
      <c r="I141" s="124"/>
      <c r="J141" s="122"/>
      <c r="K141" s="122"/>
      <c r="L141" s="129"/>
      <c r="M141" s="122"/>
      <c r="N141" s="130"/>
      <c r="O141" s="131"/>
      <c r="P141" s="131"/>
      <c r="Q141" s="131"/>
      <c r="R141" s="131"/>
      <c r="S141" s="131"/>
      <c r="T141" s="131" t="s">
        <v>159</v>
      </c>
      <c r="Y141" s="78"/>
    </row>
    <row r="142" spans="1:25" ht="21.75" customHeight="1">
      <c r="A142" s="125">
        <v>191</v>
      </c>
      <c r="B142" s="126"/>
      <c r="C142" s="127"/>
      <c r="D142" s="127"/>
      <c r="E142" s="128"/>
      <c r="F142" s="134"/>
      <c r="G142" s="122"/>
      <c r="H142" s="123">
        <v>46302</v>
      </c>
      <c r="I142" s="124" t="s">
        <v>42</v>
      </c>
      <c r="J142" s="122"/>
      <c r="K142" s="122"/>
      <c r="L142" s="129"/>
      <c r="M142" s="122"/>
      <c r="N142" s="130"/>
      <c r="O142" s="131"/>
      <c r="P142" s="131"/>
      <c r="Q142" s="131"/>
      <c r="R142" s="131"/>
      <c r="S142" s="131"/>
      <c r="T142" s="131" t="s">
        <v>159</v>
      </c>
      <c r="Y142" s="78"/>
    </row>
    <row r="143" spans="1:25" ht="21.75" customHeight="1">
      <c r="A143" s="125">
        <v>192</v>
      </c>
      <c r="B143" s="126"/>
      <c r="C143" s="127"/>
      <c r="D143" s="127"/>
      <c r="E143" s="128"/>
      <c r="F143" s="134"/>
      <c r="G143" s="122"/>
      <c r="H143" s="123">
        <v>46302</v>
      </c>
      <c r="I143" s="124" t="s">
        <v>42</v>
      </c>
      <c r="J143" s="122"/>
      <c r="K143" s="122"/>
      <c r="L143" s="129"/>
      <c r="M143" s="122"/>
      <c r="N143" s="130"/>
      <c r="O143" s="131"/>
      <c r="P143" s="131"/>
      <c r="Q143" s="131"/>
      <c r="R143" s="131"/>
      <c r="S143" s="131"/>
      <c r="T143" s="131" t="s">
        <v>159</v>
      </c>
      <c r="Y143" s="78"/>
    </row>
    <row r="144" spans="1:25" ht="21.75" customHeight="1">
      <c r="A144" s="142"/>
      <c r="B144" s="143"/>
      <c r="C144" s="144"/>
      <c r="D144" s="144"/>
      <c r="E144" s="145"/>
      <c r="F144" s="145"/>
      <c r="G144" s="122"/>
      <c r="H144" s="123"/>
      <c r="I144" s="124"/>
      <c r="J144" s="122"/>
      <c r="K144" s="122"/>
      <c r="L144" s="129"/>
      <c r="M144" s="122"/>
      <c r="N144" s="130"/>
      <c r="O144" s="131"/>
      <c r="P144" s="131"/>
      <c r="Q144" s="131"/>
      <c r="R144" s="131"/>
      <c r="S144" s="131"/>
      <c r="T144" s="131" t="s">
        <v>159</v>
      </c>
      <c r="Y144" s="78"/>
    </row>
    <row r="145" spans="1:25" ht="21.75" customHeight="1">
      <c r="A145" s="142"/>
      <c r="B145" s="143"/>
      <c r="C145" s="144"/>
      <c r="D145" s="144"/>
      <c r="E145" s="145"/>
      <c r="F145" s="145"/>
      <c r="G145" s="122"/>
      <c r="H145" s="123"/>
      <c r="I145" s="124"/>
      <c r="J145" s="122"/>
      <c r="K145" s="122"/>
      <c r="L145" s="129"/>
      <c r="M145" s="122"/>
      <c r="N145" s="130"/>
      <c r="O145" s="131"/>
      <c r="P145" s="131"/>
      <c r="Q145" s="131"/>
      <c r="R145" s="131"/>
      <c r="S145" s="131"/>
      <c r="T145" s="131" t="s">
        <v>159</v>
      </c>
      <c r="Y145" s="78"/>
    </row>
    <row r="146" spans="1:25" ht="21.75" customHeight="1">
      <c r="A146" s="142"/>
      <c r="B146" s="143"/>
      <c r="C146" s="144"/>
      <c r="D146" s="144"/>
      <c r="E146" s="145"/>
      <c r="F146" s="145"/>
      <c r="G146" s="122"/>
      <c r="H146" s="123"/>
      <c r="I146" s="124" t="s">
        <v>42</v>
      </c>
      <c r="J146" s="122"/>
      <c r="K146" s="122"/>
      <c r="L146" s="129"/>
      <c r="M146" s="122"/>
      <c r="N146" s="130"/>
      <c r="O146" s="131"/>
      <c r="P146" s="131"/>
      <c r="Q146" s="131"/>
      <c r="R146" s="131"/>
      <c r="S146" s="131"/>
      <c r="T146" s="131" t="s">
        <v>159</v>
      </c>
      <c r="Y146" s="78"/>
    </row>
    <row r="147" spans="1:25" ht="21.75" customHeight="1">
      <c r="A147" s="142"/>
      <c r="B147" s="143"/>
      <c r="C147" s="144"/>
      <c r="D147" s="144"/>
      <c r="E147" s="145"/>
      <c r="F147" s="145"/>
      <c r="G147" s="122"/>
      <c r="H147" s="123"/>
      <c r="I147" s="124" t="s">
        <v>42</v>
      </c>
      <c r="J147" s="122"/>
      <c r="K147" s="122"/>
      <c r="L147" s="129"/>
      <c r="M147" s="122"/>
      <c r="N147" s="130"/>
      <c r="O147" s="131"/>
      <c r="P147" s="131"/>
      <c r="Q147" s="131"/>
      <c r="R147" s="131"/>
      <c r="S147" s="131"/>
      <c r="T147" s="131" t="s">
        <v>159</v>
      </c>
      <c r="Y147" s="78"/>
    </row>
    <row r="148" spans="1:25" ht="21.75" customHeight="1">
      <c r="A148" s="142"/>
      <c r="B148" s="143"/>
      <c r="C148" s="144"/>
      <c r="D148" s="144"/>
      <c r="E148" s="145"/>
      <c r="F148" s="145"/>
      <c r="G148" s="122"/>
      <c r="H148" s="123"/>
      <c r="I148" s="124"/>
      <c r="J148" s="122"/>
      <c r="K148" s="122"/>
      <c r="L148" s="129"/>
      <c r="M148" s="122"/>
      <c r="N148" s="130"/>
      <c r="O148" s="131"/>
      <c r="P148" s="131"/>
      <c r="Q148" s="131"/>
      <c r="R148" s="131"/>
      <c r="S148" s="131"/>
      <c r="T148" s="131" t="s">
        <v>159</v>
      </c>
      <c r="Y148" s="78"/>
    </row>
    <row r="149" spans="1:25" ht="21.75" customHeight="1">
      <c r="A149" s="142"/>
      <c r="B149" s="143"/>
      <c r="C149" s="144"/>
      <c r="D149" s="144"/>
      <c r="E149" s="145"/>
      <c r="F149" s="145"/>
      <c r="G149" s="122"/>
      <c r="H149" s="123"/>
      <c r="I149" s="124"/>
      <c r="J149" s="122"/>
      <c r="K149" s="122"/>
      <c r="L149" s="129"/>
      <c r="M149" s="122"/>
      <c r="N149" s="130"/>
      <c r="O149" s="131"/>
      <c r="P149" s="131"/>
      <c r="Q149" s="131"/>
      <c r="R149" s="131"/>
      <c r="S149" s="131"/>
      <c r="T149" s="131" t="s">
        <v>159</v>
      </c>
      <c r="Y149" s="78"/>
    </row>
    <row r="150" spans="1:25" ht="21.75" customHeight="1">
      <c r="A150" s="88"/>
      <c r="B150" s="88"/>
      <c r="C150" s="88"/>
      <c r="D150" s="88"/>
      <c r="E150" s="88"/>
      <c r="F150" s="135"/>
      <c r="G150" s="132"/>
      <c r="H150" s="141"/>
      <c r="I150" s="132"/>
      <c r="J150" s="132"/>
      <c r="K150" s="132"/>
      <c r="L150" s="132"/>
      <c r="M150" s="132"/>
      <c r="N150" s="132"/>
      <c r="O150" s="132"/>
      <c r="P150" s="131"/>
      <c r="Q150" s="131"/>
      <c r="R150" s="131"/>
      <c r="S150" s="131"/>
      <c r="T150" s="131" t="s">
        <v>159</v>
      </c>
      <c r="Y150" s="78"/>
    </row>
    <row r="151" spans="1:25">
      <c r="A151" s="88"/>
      <c r="G151" s="88"/>
      <c r="H151" s="88"/>
      <c r="I151" s="88"/>
      <c r="J151" s="88"/>
      <c r="K151" s="88"/>
      <c r="L151" s="88"/>
      <c r="M151" s="88"/>
      <c r="N151" s="88"/>
      <c r="O151" s="88"/>
    </row>
  </sheetData>
  <mergeCells count="2">
    <mergeCell ref="A1:O1"/>
    <mergeCell ref="P1:Z1"/>
  </mergeCells>
  <conditionalFormatting sqref="A3:T22 A23:S24 A25:T29 A30:E31 G30:T31 B150:T150 A32:T38 A40:T42 A39:G39 I39:T39 A44:T149 A43:G43 I43:T43">
    <cfRule type="expression" dxfId="27" priority="44">
      <formula>EXACT($I3,"À CONTACTER")</formula>
    </cfRule>
    <cfRule type="expression" dxfId="26" priority="45">
      <formula>EXACT($I3,"CONTACTÉ")</formula>
    </cfRule>
    <cfRule type="expression" dxfId="25" priority="46">
      <formula>EXACT($I3,"EN COURS")</formula>
    </cfRule>
    <cfRule type="expression" dxfId="24" priority="47">
      <formula>EXACT($I3,"INTÉRESSÉ")</formula>
    </cfRule>
    <cfRule type="expression" dxfId="23" priority="48">
      <formula>EXACT($I3,"DEVIS ENVOYÉ")</formula>
    </cfRule>
    <cfRule type="expression" dxfId="22" priority="49">
      <formula>EXACT($I3,"CLIENT ✅")</formula>
    </cfRule>
    <cfRule type="expression" dxfId="21" priority="50">
      <formula>EXACT($I3,"PERDU ❌")</formula>
    </cfRule>
  </conditionalFormatting>
  <conditionalFormatting sqref="T24">
    <cfRule type="expression" dxfId="20" priority="58">
      <formula>EXACT($I23,"À CONTACTER")</formula>
    </cfRule>
    <cfRule type="expression" dxfId="19" priority="59">
      <formula>EXACT($I23,"CONTACTÉ")</formula>
    </cfRule>
    <cfRule type="expression" dxfId="18" priority="60">
      <formula>EXACT($I23,"EN COURS")</formula>
    </cfRule>
    <cfRule type="expression" dxfId="17" priority="61">
      <formula>EXACT($I23,"INTÉRESSÉ")</formula>
    </cfRule>
    <cfRule type="expression" dxfId="16" priority="62">
      <formula>EXACT($I23,"DEVIS ENVOYÉ")</formula>
    </cfRule>
    <cfRule type="expression" dxfId="15" priority="63">
      <formula>EXACT($I23,"CLIENT ✅")</formula>
    </cfRule>
    <cfRule type="expression" dxfId="14" priority="64">
      <formula>EXACT($I23,"PERDU ❌")</formula>
    </cfRule>
  </conditionalFormatting>
  <conditionalFormatting sqref="F30">
    <cfRule type="expression" dxfId="13" priority="72">
      <formula>EXACT($I31,"À CONTACTER")</formula>
    </cfRule>
    <cfRule type="expression" dxfId="12" priority="73">
      <formula>EXACT($I31,"CONTACTÉ")</formula>
    </cfRule>
    <cfRule type="expression" dxfId="11" priority="74">
      <formula>EXACT($I31,"EN COURS")</formula>
    </cfRule>
    <cfRule type="expression" dxfId="10" priority="75">
      <formula>EXACT($I31,"INTÉRESSÉ")</formula>
    </cfRule>
    <cfRule type="expression" dxfId="9" priority="76">
      <formula>EXACT($I31,"DEVIS ENVOYÉ")</formula>
    </cfRule>
    <cfRule type="expression" dxfId="8" priority="77">
      <formula>EXACT($I31,"CLIENT ✅")</formula>
    </cfRule>
    <cfRule type="expression" dxfId="7" priority="78">
      <formula>EXACT($I31,"PERDU ❌")</formula>
    </cfRule>
  </conditionalFormatting>
  <conditionalFormatting sqref="H43">
    <cfRule type="expression" dxfId="6" priority="86">
      <formula>EXACT($I39,"À CONTACTER")</formula>
    </cfRule>
    <cfRule type="expression" dxfId="5" priority="87">
      <formula>EXACT($I39,"CONTACTÉ")</formula>
    </cfRule>
    <cfRule type="expression" dxfId="4" priority="88">
      <formula>EXACT($I39,"EN COURS")</formula>
    </cfRule>
    <cfRule type="expression" dxfId="3" priority="89">
      <formula>EXACT($I39,"INTÉRESSÉ")</formula>
    </cfRule>
    <cfRule type="expression" dxfId="2" priority="90">
      <formula>EXACT($I39,"DEVIS ENVOYÉ")</formula>
    </cfRule>
    <cfRule type="expression" dxfId="1" priority="91">
      <formula>EXACT($I39,"CLIENT ✅")</formula>
    </cfRule>
    <cfRule type="expression" dxfId="0" priority="92">
      <formula>EXACT($I39,"PERDU ❌")</formula>
    </cfRule>
  </conditionalFormatting>
  <dataValidations count="2">
    <dataValidation type="list" allowBlank="1" showErrorMessage="1" errorTitle="Statut invalide" error="Choisir parmi : À CONTACTER / CONTACTÉ / EN COURS / INTÉRESSÉ / DEVIS ENVOYÉ / CLIENT ✅ / PERDU ❌" sqref="I3:I149" xr:uid="{00000000-0002-0000-0100-000000000000}">
      <formula1>"À CONTACTER,CONTACTÉ,EN COURS,INTÉRESSÉ,DEVIS ENVOYÉ,CLIENT ✅,PERDU ❌"</formula1>
      <formula2>0</formula2>
    </dataValidation>
    <dataValidation type="list" allowBlank="1" sqref="G3:G149" xr:uid="{00000000-0002-0000-0100-000001000000}">
      <formula1>"Instagram,LinkedIn,WhatsApp,Terrain,Recommandation,Email,Téléphone,Autre"</formula1>
      <formula2>0</formula2>
    </dataValidation>
  </dataValidations>
  <hyperlinks>
    <hyperlink ref="F21" r:id="rId1" xr:uid="{389265FC-C6DA-4ADF-9616-2BF1639D45C1}"/>
    <hyperlink ref="F22" r:id="rId2" xr:uid="{435F4F59-7A13-4741-A8F9-B2D5B7BA5D62}"/>
    <hyperlink ref="F33" r:id="rId3" xr:uid="{A481832F-605C-4ED7-A9D3-245E12FB8553}"/>
    <hyperlink ref="F34" r:id="rId4" xr:uid="{DC9416F5-72E4-48DA-B104-4CC50D62709F}"/>
    <hyperlink ref="F35" r:id="rId5" xr:uid="{987EE5EF-BAB5-437F-BF1C-E4952F6869EA}"/>
    <hyperlink ref="F37" r:id="rId6" xr:uid="{058206F6-4DD0-4591-8A3B-54DD412C70D8}"/>
    <hyperlink ref="F39" r:id="rId7" xr:uid="{3B7DDB52-5339-4A6A-935F-0F9E0AB64236}"/>
    <hyperlink ref="F40" r:id="rId8" xr:uid="{C3C22235-A7E1-4003-B1CA-34C7BFABFD46}"/>
    <hyperlink ref="F45" r:id="rId9" xr:uid="{0F3BC9BD-4AD0-4A4E-B17D-06E366145A3A}"/>
    <hyperlink ref="F48" r:id="rId10" xr:uid="{77842786-D800-40E0-BD47-EB1989AD50EC}"/>
    <hyperlink ref="F49" r:id="rId11" xr:uid="{1CF437C8-645A-4A52-B15F-5F014718EB3D}"/>
    <hyperlink ref="F51" r:id="rId12" xr:uid="{5412E593-E628-450A-B9A7-7088B8E94978}"/>
    <hyperlink ref="F52" r:id="rId13" xr:uid="{F60348D6-8F16-48FB-85BA-51B005933814}"/>
    <hyperlink ref="F56" r:id="rId14" xr:uid="{0BB83C63-8D3D-4C6E-BC7E-D4BAD631E291}"/>
    <hyperlink ref="F62" r:id="rId15" xr:uid="{97DA5F0C-C860-4B8A-9AA3-EF1B898C548F}"/>
    <hyperlink ref="F55" r:id="rId16" xr:uid="{1515EA55-7B69-496B-AF7E-6B00D0FEA9BC}"/>
    <hyperlink ref="F59" r:id="rId17" xr:uid="{BBB7E0AE-CECF-4CE6-8D9E-E22C0C5B0341}"/>
    <hyperlink ref="F61" r:id="rId18" xr:uid="{02EBF322-8C6D-41DA-86C2-3A2E4ED3039B}"/>
    <hyperlink ref="F64" r:id="rId19" xr:uid="{962EE882-97C3-45C7-8B19-85446D11CA5E}"/>
    <hyperlink ref="F65" r:id="rId20" xr:uid="{9FBE6E5F-44CD-4FD9-822B-ADE52975EB51}"/>
    <hyperlink ref="F66" r:id="rId21" xr:uid="{5BE4BC46-4C03-47A5-B34E-27039DCF79E4}"/>
    <hyperlink ref="F67" r:id="rId22" xr:uid="{27447159-4DEC-47A1-9764-FB0C7387A6E9}"/>
    <hyperlink ref="F93" r:id="rId23" xr:uid="{0BE0209C-6E0A-46F1-BD82-4AEC929C68C7}"/>
    <hyperlink ref="F94" r:id="rId24" xr:uid="{154D9181-C0AA-42E2-9295-C5B941A93540}"/>
    <hyperlink ref="F95" r:id="rId25" xr:uid="{46BFD3A1-8610-4626-A133-4927858069A8}"/>
    <hyperlink ref="F101" r:id="rId26" xr:uid="{EE9FE346-92EF-4633-9D82-594E87ECD0E1}"/>
    <hyperlink ref="F102" r:id="rId27" xr:uid="{42336B0C-F139-4A22-94B4-DA741EE69D16}"/>
    <hyperlink ref="F103" r:id="rId28" xr:uid="{3877C0A8-7071-420C-BA0C-CB9217275793}"/>
    <hyperlink ref="F117" r:id="rId29" xr:uid="{6B153753-35B0-47CE-8561-A706CFC099A7}"/>
    <hyperlink ref="F118" r:id="rId30" xr:uid="{A77341BC-08B5-4C1C-BE76-87F18B9AB3E1}"/>
    <hyperlink ref="F119" r:id="rId31" xr:uid="{2779DA89-33A5-4C1C-AF05-36FC36565969}"/>
    <hyperlink ref="F120" r:id="rId32" xr:uid="{CFC405C2-07FA-48CC-AD3C-2E91265D10E0}"/>
  </hyperlinks>
  <pageMargins left="0.75" right="0.75" top="1" bottom="1" header="0.511811023622047" footer="0.511811023622047"/>
  <pageSetup paperSize="9" orientation="portrait" horizontalDpi="300" verticalDpi="300"/>
  <headerFooter>
    <oddFooter>&amp;C_x000D_&amp;1#&amp;"Aptos"&amp;4&amp;K000000 Public - Diffusion autorisée sans restriction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5AF4D-1D76-499D-88DA-24B87697026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4B71E-3FF7-4F45-9BD2-2021FD7DEE30}">
  <dimension ref="A1"/>
  <sheetViews>
    <sheetView topLeftCell="A22"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"/>
  <sheetViews>
    <sheetView showGridLines="0" topLeftCell="A13" zoomScaleNormal="100" workbookViewId="0">
      <selection activeCell="M14" sqref="M14"/>
    </sheetView>
  </sheetViews>
  <sheetFormatPr defaultColWidth="8.7109375" defaultRowHeight="15"/>
  <cols>
    <col min="1" max="1" width="3" customWidth="1"/>
    <col min="2" max="10" width="18" customWidth="1"/>
    <col min="11" max="11" width="3" customWidth="1"/>
  </cols>
  <sheetData>
    <row r="1" spans="1:11" ht="7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36" customHeight="1">
      <c r="A2" s="2"/>
      <c r="B2" s="29" t="s">
        <v>364</v>
      </c>
      <c r="C2" s="2"/>
      <c r="D2" s="2"/>
      <c r="E2" s="2"/>
      <c r="F2" s="2"/>
      <c r="G2" s="2"/>
      <c r="H2" s="2"/>
      <c r="I2" s="2"/>
      <c r="J2" s="2"/>
      <c r="K2" s="2"/>
    </row>
    <row r="3" spans="1:11" ht="7.5" customHeight="1"/>
    <row r="4" spans="1:11" ht="27.75" customHeight="1">
      <c r="A4" s="5"/>
      <c r="B4" s="6" t="s">
        <v>365</v>
      </c>
      <c r="C4" s="5"/>
      <c r="D4" s="5"/>
      <c r="E4" s="5"/>
    </row>
    <row r="5" spans="1:11" ht="18" customHeight="1">
      <c r="B5" s="153" t="s">
        <v>366</v>
      </c>
      <c r="C5" s="153"/>
      <c r="E5" s="154" t="s">
        <v>367</v>
      </c>
      <c r="F5" s="154"/>
      <c r="H5" s="155" t="s">
        <v>368</v>
      </c>
      <c r="I5" s="155"/>
    </row>
    <row r="6" spans="1:11" ht="37.5" customHeight="1">
      <c r="B6" s="156">
        <f>COUNTA('🎯 PROSPECTS'!B3:B150)</f>
        <v>132</v>
      </c>
      <c r="C6" s="156"/>
      <c r="E6" s="157">
        <f>COUNTIF('🎯 PROSPECTS'!I3:I150,"À CONTACTER")</f>
        <v>75</v>
      </c>
      <c r="F6" s="157"/>
      <c r="H6" s="158">
        <f>COUNTIF('🎯 PROSPECTS'!I3:I150,"EN COURS")</f>
        <v>1</v>
      </c>
      <c r="I6" s="158"/>
    </row>
    <row r="7" spans="1:11" ht="25.5" customHeight="1">
      <c r="B7" s="30"/>
      <c r="C7" s="30"/>
      <c r="E7" s="31"/>
      <c r="F7" s="31"/>
      <c r="H7" s="32"/>
      <c r="I7" s="32"/>
    </row>
    <row r="8" spans="1:11" ht="7.5" customHeight="1"/>
    <row r="9" spans="1:11" ht="18" customHeight="1">
      <c r="B9" s="159" t="s">
        <v>369</v>
      </c>
      <c r="C9" s="159"/>
      <c r="E9" s="160" t="s">
        <v>370</v>
      </c>
      <c r="F9" s="160"/>
      <c r="H9" s="161" t="s">
        <v>371</v>
      </c>
      <c r="I9" s="161"/>
    </row>
    <row r="10" spans="1:11" ht="37.5" customHeight="1">
      <c r="B10" s="162">
        <f>COUNTIF('🎯 PROSPECTS'!I3:I150,"INTÉRESSÉ")</f>
        <v>1</v>
      </c>
      <c r="C10" s="162"/>
      <c r="E10" s="163">
        <f>COUNTIF('🎯 PROSPECTS'!I3:I150,"DEVIS ENVOYÉ")</f>
        <v>4</v>
      </c>
      <c r="F10" s="163"/>
      <c r="H10" s="164">
        <f>COUNTIF('🎯 PROSPECTS'!I3:I150,"CLIENT ✅")</f>
        <v>1</v>
      </c>
      <c r="I10" s="164"/>
    </row>
    <row r="11" spans="1:11" ht="25.5" customHeight="1">
      <c r="B11" s="33"/>
      <c r="C11" s="33"/>
      <c r="E11" s="34"/>
      <c r="F11" s="34"/>
      <c r="H11" s="35"/>
      <c r="I11" s="35"/>
    </row>
    <row r="12" spans="1:11" ht="7.5" customHeight="1"/>
    <row r="13" spans="1:11" ht="18" customHeight="1">
      <c r="B13" s="165" t="s">
        <v>372</v>
      </c>
      <c r="C13" s="165"/>
      <c r="E13" s="166" t="s">
        <v>373</v>
      </c>
      <c r="F13" s="166"/>
      <c r="H13" s="155" t="s">
        <v>374</v>
      </c>
      <c r="I13" s="155"/>
    </row>
    <row r="14" spans="1:11" ht="37.5" customHeight="1">
      <c r="B14" s="167">
        <f>COUNTIF('🎯 PROSPECTS'!I3:I150,"PERDU ❌")</f>
        <v>0</v>
      </c>
      <c r="C14" s="167"/>
      <c r="E14" s="168">
        <f>SUMIF('🎯 PROSPECTS'!I3:I150,"CLIENT ✅",'🎯 PROSPECTS'!N3:N150)</f>
        <v>1500</v>
      </c>
      <c r="F14" s="168"/>
      <c r="H14" s="169">
        <f>SUMIF('🎯 PROSPECTS'!I3:I150,"INTÉRESSÉ",'🎯 PROSPECTS'!N3:N150)+SUMIF('🎯 PROSPECTS'!I3:I150,"DEVIS ENVOYÉ",'🎯 PROSPECTS'!N3:N150)</f>
        <v>1200</v>
      </c>
      <c r="I14" s="169"/>
    </row>
    <row r="15" spans="1:11" ht="25.5" customHeight="1">
      <c r="B15" s="36"/>
      <c r="C15" s="36"/>
      <c r="E15" s="37"/>
      <c r="F15" s="37"/>
      <c r="H15" s="32"/>
      <c r="I15" s="32"/>
    </row>
    <row r="16" spans="1:11" ht="7.5" customHeight="1"/>
    <row r="17" spans="1:10" ht="27.75" customHeight="1">
      <c r="A17" s="38"/>
      <c r="B17" s="39" t="s">
        <v>375</v>
      </c>
      <c r="C17" s="38"/>
      <c r="D17" s="38"/>
      <c r="E17" s="38"/>
    </row>
    <row r="18" spans="1:10" ht="18" customHeight="1">
      <c r="B18" s="170" t="s">
        <v>376</v>
      </c>
      <c r="C18" s="170"/>
      <c r="D18" s="170"/>
      <c r="E18" s="170" t="s">
        <v>377</v>
      </c>
      <c r="F18" s="170"/>
      <c r="G18" s="170"/>
      <c r="H18" s="170" t="s">
        <v>4</v>
      </c>
      <c r="I18" s="170"/>
      <c r="J18" s="170"/>
    </row>
    <row r="19" spans="1:10" ht="24" customHeight="1">
      <c r="B19" s="171" t="s">
        <v>378</v>
      </c>
      <c r="C19" s="171"/>
      <c r="D19" s="171"/>
      <c r="E19" s="172">
        <f>IF(COUNTA('🎯 PROSPECTS'!B3:B150)=0,0,1-COUNTIF('🎯 PROSPECTS'!I3:I150,"À CONTACTER")/COUNTA('🎯 PROSPECTS'!B3:B150))</f>
        <v>0.43181818181818177</v>
      </c>
      <c r="F19" s="172"/>
      <c r="G19" s="172"/>
      <c r="H19" s="173" t="s">
        <v>379</v>
      </c>
      <c r="I19" s="173"/>
      <c r="J19" s="173"/>
    </row>
    <row r="20" spans="1:10" ht="24" customHeight="1">
      <c r="B20" s="174" t="s">
        <v>380</v>
      </c>
      <c r="C20" s="174"/>
      <c r="D20" s="174"/>
      <c r="E20" s="175">
        <f>IF(COUNTA('🎯 PROSPECTS'!B3:B150)=0,0,COUNTIF('🎯 PROSPECTS'!I3:I150,"CLIENT ✅")/COUNTA('🎯 PROSPECTS'!B3:B150))</f>
        <v>7.575757575757576E-3</v>
      </c>
      <c r="F20" s="175"/>
      <c r="G20" s="175"/>
      <c r="H20" s="176" t="s">
        <v>381</v>
      </c>
      <c r="I20" s="176"/>
      <c r="J20" s="176"/>
    </row>
    <row r="21" spans="1:10" ht="24" customHeight="1">
      <c r="B21" s="171" t="s">
        <v>382</v>
      </c>
      <c r="C21" s="171"/>
      <c r="D21" s="171"/>
      <c r="E21" s="177">
        <f>IFERROR(SUMIF('🎯 PROSPECTS'!I3:I150,"CLIENT ✅",'🎯 PROSPECTS'!N3:N150)/COUNTIF('🎯 PROSPECTS'!I3:I150,"CLIENT ✅"),0)</f>
        <v>1500</v>
      </c>
      <c r="F21" s="177"/>
      <c r="G21" s="177"/>
      <c r="H21" s="173" t="s">
        <v>383</v>
      </c>
      <c r="I21" s="173"/>
      <c r="J21" s="173"/>
    </row>
    <row r="22" spans="1:10" ht="7.5" customHeight="1"/>
    <row r="23" spans="1:10" ht="27.75" customHeight="1">
      <c r="A23" s="22"/>
      <c r="B23" s="23" t="s">
        <v>384</v>
      </c>
      <c r="C23" s="22"/>
      <c r="D23" s="22"/>
      <c r="E23" s="22"/>
    </row>
    <row r="24" spans="1:10" ht="18" customHeight="1">
      <c r="B24" s="19" t="s">
        <v>376</v>
      </c>
      <c r="C24" s="7"/>
      <c r="D24" s="7"/>
      <c r="E24" s="19" t="s">
        <v>385</v>
      </c>
      <c r="F24" s="19" t="s">
        <v>386</v>
      </c>
      <c r="G24" s="19" t="s">
        <v>387</v>
      </c>
      <c r="H24" s="7"/>
      <c r="I24" s="19" t="s">
        <v>40</v>
      </c>
      <c r="J24" s="7"/>
    </row>
    <row r="25" spans="1:10" ht="24" customHeight="1">
      <c r="B25" s="180" t="s">
        <v>388</v>
      </c>
      <c r="C25" s="180"/>
      <c r="D25" s="180"/>
      <c r="E25" s="40" t="s">
        <v>389</v>
      </c>
      <c r="F25" s="9"/>
      <c r="G25" s="41">
        <v>10</v>
      </c>
      <c r="H25" s="9"/>
      <c r="I25" s="181" t="str">
        <f>IF(G25&gt;=25,"✅ Atteint","⚠️ En dessous")</f>
        <v>⚠️ En dessous</v>
      </c>
      <c r="J25" s="181"/>
    </row>
    <row r="26" spans="1:10" ht="24" customHeight="1">
      <c r="B26" s="178" t="s">
        <v>390</v>
      </c>
      <c r="C26" s="178"/>
      <c r="D26" s="178"/>
      <c r="E26" s="42" t="s">
        <v>389</v>
      </c>
      <c r="F26" s="13"/>
      <c r="G26" s="41">
        <v>6</v>
      </c>
      <c r="H26" s="13"/>
      <c r="I26" s="179" t="str">
        <f>IF(G26&gt;=75,"✅ Atteint","⚠️ En dessous")</f>
        <v>⚠️ En dessous</v>
      </c>
      <c r="J26" s="179"/>
    </row>
    <row r="27" spans="1:10" ht="24" customHeight="1">
      <c r="B27" s="180" t="s">
        <v>391</v>
      </c>
      <c r="C27" s="180"/>
      <c r="D27" s="180"/>
      <c r="E27" s="40" t="s">
        <v>389</v>
      </c>
      <c r="F27" s="9"/>
      <c r="G27" s="41">
        <v>3</v>
      </c>
      <c r="H27" s="9"/>
      <c r="I27" s="181" t="str">
        <f>IF(G27&gt;=25,"✅ Atteint","⚠️ En dessous")</f>
        <v>⚠️ En dessous</v>
      </c>
      <c r="J27" s="181"/>
    </row>
    <row r="28" spans="1:10" ht="24" customHeight="1">
      <c r="B28" s="178" t="s">
        <v>392</v>
      </c>
      <c r="C28" s="178"/>
      <c r="D28" s="178"/>
      <c r="E28" s="42" t="s">
        <v>393</v>
      </c>
      <c r="F28" s="13"/>
      <c r="G28" s="41">
        <v>0</v>
      </c>
      <c r="H28" s="13"/>
      <c r="I28" s="179" t="str">
        <f>IF(COUNTIF('🎯 PROSPECTS'!I3:I150,"CLIENT ✅")&gt;=2,"✅ Atteint","⚠️ En dessous")</f>
        <v>⚠️ En dessous</v>
      </c>
      <c r="J28" s="179"/>
    </row>
  </sheetData>
  <mergeCells count="38">
    <mergeCell ref="B28:D28"/>
    <mergeCell ref="I28:J28"/>
    <mergeCell ref="B25:D25"/>
    <mergeCell ref="I25:J25"/>
    <mergeCell ref="B26:D26"/>
    <mergeCell ref="I26:J26"/>
    <mergeCell ref="B27:D27"/>
    <mergeCell ref="I27:J27"/>
    <mergeCell ref="B20:D20"/>
    <mergeCell ref="E20:G20"/>
    <mergeCell ref="H20:J20"/>
    <mergeCell ref="B21:D21"/>
    <mergeCell ref="E21:G21"/>
    <mergeCell ref="H21:J21"/>
    <mergeCell ref="B18:D18"/>
    <mergeCell ref="E18:G18"/>
    <mergeCell ref="H18:J18"/>
    <mergeCell ref="B19:D19"/>
    <mergeCell ref="E19:G19"/>
    <mergeCell ref="H19:J19"/>
    <mergeCell ref="B13:C13"/>
    <mergeCell ref="E13:F13"/>
    <mergeCell ref="H13:I13"/>
    <mergeCell ref="B14:C14"/>
    <mergeCell ref="E14:F14"/>
    <mergeCell ref="H14:I14"/>
    <mergeCell ref="B9:C9"/>
    <mergeCell ref="E9:F9"/>
    <mergeCell ref="H9:I9"/>
    <mergeCell ref="B10:C10"/>
    <mergeCell ref="E10:F10"/>
    <mergeCell ref="H10:I10"/>
    <mergeCell ref="B5:C5"/>
    <mergeCell ref="E5:F5"/>
    <mergeCell ref="H5:I5"/>
    <mergeCell ref="B6:C6"/>
    <mergeCell ref="E6:F6"/>
    <mergeCell ref="H6:I6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&amp;C_x000D_&amp;1#&amp;"Aptos"&amp;4&amp;K000000 Public - Diffusion autorisée sans restriction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7"/>
  <sheetViews>
    <sheetView showGridLines="0" topLeftCell="A9" zoomScaleNormal="100" workbookViewId="0">
      <selection activeCell="B12" sqref="B12"/>
    </sheetView>
  </sheetViews>
  <sheetFormatPr defaultColWidth="8.7109375" defaultRowHeight="15"/>
  <cols>
    <col min="1" max="1" width="3" customWidth="1"/>
    <col min="2" max="2" width="18" customWidth="1"/>
    <col min="3" max="3" width="70" customWidth="1"/>
    <col min="4" max="4" width="3" customWidth="1"/>
  </cols>
  <sheetData>
    <row r="1" spans="1:4" ht="7.5" customHeight="1">
      <c r="A1" s="2"/>
      <c r="B1" s="2"/>
      <c r="C1" s="2"/>
      <c r="D1" s="2"/>
    </row>
    <row r="2" spans="1:4" ht="36" customHeight="1">
      <c r="A2" s="2"/>
      <c r="B2" s="1" t="s">
        <v>394</v>
      </c>
      <c r="C2" s="2"/>
      <c r="D2" s="2"/>
    </row>
    <row r="3" spans="1:4" ht="27.75" customHeight="1">
      <c r="A3" s="43"/>
      <c r="B3" s="44" t="s">
        <v>395</v>
      </c>
      <c r="C3" s="43"/>
      <c r="D3" s="43"/>
    </row>
    <row r="4" spans="1:4" ht="126" customHeight="1">
      <c r="A4" s="45"/>
      <c r="B4" s="46" t="s">
        <v>396</v>
      </c>
      <c r="C4" s="45"/>
      <c r="D4" s="45"/>
    </row>
    <row r="5" spans="1:4" ht="21.75" customHeight="1">
      <c r="A5" s="47"/>
      <c r="B5" s="48" t="s">
        <v>397</v>
      </c>
      <c r="C5" s="47"/>
      <c r="D5" s="47"/>
    </row>
    <row r="6" spans="1:4" ht="18" customHeight="1">
      <c r="A6" s="45"/>
      <c r="B6" s="45"/>
      <c r="C6" s="45"/>
      <c r="D6" s="45"/>
    </row>
    <row r="7" spans="1:4" ht="27.75" customHeight="1">
      <c r="A7" s="49"/>
      <c r="B7" s="50" t="s">
        <v>398</v>
      </c>
      <c r="C7" s="49"/>
      <c r="D7" s="49"/>
    </row>
    <row r="8" spans="1:4" ht="181.5" customHeight="1">
      <c r="A8" s="45"/>
      <c r="B8" s="46" t="s">
        <v>399</v>
      </c>
      <c r="C8" s="45"/>
      <c r="D8" s="45"/>
    </row>
    <row r="9" spans="1:4" ht="21.75" customHeight="1">
      <c r="A9" s="47"/>
      <c r="B9" s="48" t="s">
        <v>400</v>
      </c>
      <c r="C9" s="47"/>
      <c r="D9" s="47"/>
    </row>
    <row r="10" spans="1:4" ht="18" customHeight="1">
      <c r="A10" s="45"/>
      <c r="B10" s="45"/>
      <c r="C10" s="45"/>
      <c r="D10" s="45"/>
    </row>
    <row r="11" spans="1:4" ht="27.75" customHeight="1">
      <c r="A11" s="51"/>
      <c r="B11" s="52" t="s">
        <v>401</v>
      </c>
      <c r="C11" s="51"/>
      <c r="D11" s="51"/>
    </row>
    <row r="12" spans="1:4" ht="111.75" customHeight="1">
      <c r="A12" s="45"/>
      <c r="B12" s="46" t="s">
        <v>402</v>
      </c>
      <c r="C12" s="45"/>
      <c r="D12" s="45"/>
    </row>
    <row r="13" spans="1:4" ht="21.75" customHeight="1">
      <c r="A13" s="47"/>
      <c r="B13" s="48" t="s">
        <v>403</v>
      </c>
      <c r="C13" s="47"/>
      <c r="D13" s="47"/>
    </row>
    <row r="14" spans="1:4" ht="18" customHeight="1">
      <c r="A14" s="45"/>
      <c r="B14" s="45"/>
      <c r="C14" s="45"/>
      <c r="D14" s="45"/>
    </row>
    <row r="15" spans="1:4" ht="27.75" customHeight="1">
      <c r="A15" s="53"/>
      <c r="B15" s="54" t="s">
        <v>404</v>
      </c>
      <c r="C15" s="53"/>
      <c r="D15" s="53"/>
    </row>
    <row r="16" spans="1:4" ht="111.75" customHeight="1">
      <c r="A16" s="45"/>
      <c r="B16" s="46" t="s">
        <v>405</v>
      </c>
      <c r="C16" s="45"/>
      <c r="D16" s="45"/>
    </row>
    <row r="17" spans="1:4" ht="21.75" customHeight="1">
      <c r="A17" s="47"/>
      <c r="B17" s="48" t="s">
        <v>406</v>
      </c>
      <c r="C17" s="47"/>
      <c r="D17" s="47"/>
    </row>
    <row r="18" spans="1:4" ht="18" customHeight="1">
      <c r="A18" s="45"/>
      <c r="B18" s="45"/>
      <c r="C18" s="45"/>
      <c r="D18" s="45"/>
    </row>
    <row r="19" spans="1:4" ht="27.75" customHeight="1">
      <c r="A19" s="55"/>
      <c r="B19" s="56" t="s">
        <v>407</v>
      </c>
      <c r="C19" s="55"/>
      <c r="D19" s="55"/>
    </row>
    <row r="20" spans="1:4" ht="126" customHeight="1">
      <c r="A20" s="45"/>
      <c r="B20" s="46" t="s">
        <v>408</v>
      </c>
      <c r="C20" s="45"/>
      <c r="D20" s="45"/>
    </row>
    <row r="21" spans="1:4" ht="21.75" customHeight="1">
      <c r="A21" s="47"/>
      <c r="B21" s="48" t="s">
        <v>409</v>
      </c>
      <c r="C21" s="47"/>
      <c r="D21" s="47"/>
    </row>
    <row r="22" spans="1:4" ht="18" customHeight="1">
      <c r="A22" s="45"/>
      <c r="B22" s="45"/>
      <c r="C22" s="45"/>
      <c r="D22" s="45"/>
    </row>
    <row r="23" spans="1:4" ht="27.75" customHeight="1">
      <c r="A23" s="57"/>
      <c r="B23" s="58" t="s">
        <v>410</v>
      </c>
      <c r="C23" s="57"/>
      <c r="D23" s="57"/>
    </row>
    <row r="24" spans="1:4" ht="126" customHeight="1">
      <c r="A24" s="45"/>
      <c r="B24" s="46" t="s">
        <v>411</v>
      </c>
      <c r="C24" s="45"/>
      <c r="D24" s="45"/>
    </row>
    <row r="25" spans="1:4" ht="21.75" customHeight="1">
      <c r="A25" s="47"/>
      <c r="B25" s="48" t="s">
        <v>412</v>
      </c>
      <c r="C25" s="47"/>
      <c r="D25" s="47"/>
    </row>
    <row r="26" spans="1:4" ht="18" customHeight="1">
      <c r="A26" s="45"/>
      <c r="B26" s="45"/>
      <c r="C26" s="45"/>
      <c r="D26" s="45"/>
    </row>
    <row r="27" spans="1:4" ht="27.75" customHeight="1">
      <c r="A27" s="59"/>
      <c r="B27" s="60" t="s">
        <v>413</v>
      </c>
      <c r="C27" s="59"/>
      <c r="D27" s="59"/>
    </row>
    <row r="28" spans="1:4" ht="279.75" customHeight="1">
      <c r="A28" s="45"/>
      <c r="B28" s="46" t="s">
        <v>414</v>
      </c>
      <c r="C28" s="45"/>
      <c r="D28" s="45"/>
    </row>
    <row r="29" spans="1:4" ht="21.75" customHeight="1">
      <c r="A29" s="47"/>
      <c r="B29" s="48" t="s">
        <v>415</v>
      </c>
      <c r="C29" s="47"/>
      <c r="D29" s="47"/>
    </row>
    <row r="30" spans="1:4" ht="18" customHeight="1">
      <c r="A30" s="45"/>
      <c r="B30" s="45"/>
      <c r="C30" s="45"/>
      <c r="D30" s="45"/>
    </row>
    <row r="31" spans="1:4" ht="18" customHeight="1">
      <c r="A31" s="9"/>
      <c r="B31" s="9"/>
      <c r="C31" s="9"/>
      <c r="D31" s="9"/>
    </row>
    <row r="32" spans="1:4" ht="18" customHeight="1">
      <c r="A32" s="45"/>
      <c r="B32" s="45"/>
      <c r="C32" s="45"/>
      <c r="D32" s="45"/>
    </row>
    <row r="33" spans="1:4" ht="18" customHeight="1">
      <c r="A33" s="9"/>
      <c r="B33" s="9"/>
      <c r="C33" s="9"/>
      <c r="D33" s="9"/>
    </row>
    <row r="34" spans="1:4" ht="18" customHeight="1">
      <c r="A34" s="45"/>
      <c r="B34" s="45"/>
      <c r="C34" s="45"/>
      <c r="D34" s="45"/>
    </row>
    <row r="35" spans="1:4" ht="18" customHeight="1">
      <c r="A35" s="9"/>
      <c r="B35" s="9"/>
      <c r="C35" s="9"/>
      <c r="D35" s="9"/>
    </row>
    <row r="36" spans="1:4" ht="18" customHeight="1">
      <c r="A36" s="45"/>
      <c r="B36" s="45"/>
      <c r="C36" s="45"/>
      <c r="D36" s="45"/>
    </row>
    <row r="37" spans="1:4" ht="18" customHeight="1">
      <c r="A37" s="9"/>
      <c r="B37" s="9"/>
      <c r="C37" s="9"/>
      <c r="D37" s="9"/>
    </row>
    <row r="38" spans="1:4" ht="18" customHeight="1">
      <c r="A38" s="45"/>
      <c r="B38" s="45"/>
      <c r="C38" s="45"/>
      <c r="D38" s="45"/>
    </row>
    <row r="39" spans="1:4" ht="18" customHeight="1">
      <c r="A39" s="9"/>
      <c r="B39" s="9"/>
      <c r="C39" s="9"/>
      <c r="D39" s="9"/>
    </row>
    <row r="40" spans="1:4" ht="18" customHeight="1">
      <c r="A40" s="45"/>
      <c r="B40" s="45"/>
      <c r="C40" s="45"/>
      <c r="D40" s="45"/>
    </row>
    <row r="41" spans="1:4" ht="18" customHeight="1">
      <c r="A41" s="9"/>
      <c r="B41" s="9"/>
      <c r="C41" s="9"/>
      <c r="D41" s="9"/>
    </row>
    <row r="42" spans="1:4" ht="18" customHeight="1">
      <c r="A42" s="45"/>
      <c r="B42" s="45"/>
      <c r="C42" s="45"/>
      <c r="D42" s="45"/>
    </row>
    <row r="43" spans="1:4" ht="18" customHeight="1">
      <c r="A43" s="9"/>
      <c r="B43" s="9"/>
      <c r="C43" s="9"/>
      <c r="D43" s="9"/>
    </row>
    <row r="44" spans="1:4" ht="18" customHeight="1">
      <c r="A44" s="45"/>
      <c r="B44" s="45"/>
      <c r="C44" s="45"/>
      <c r="D44" s="45"/>
    </row>
    <row r="45" spans="1:4" ht="18" customHeight="1">
      <c r="A45" s="9"/>
      <c r="B45" s="9"/>
      <c r="C45" s="9"/>
      <c r="D45" s="9"/>
    </row>
    <row r="46" spans="1:4" ht="18" customHeight="1">
      <c r="A46" s="45"/>
      <c r="B46" s="45"/>
      <c r="C46" s="45"/>
      <c r="D46" s="45"/>
    </row>
    <row r="47" spans="1:4" ht="18" customHeight="1">
      <c r="A47" s="9"/>
      <c r="B47" s="9"/>
      <c r="C47" s="9"/>
      <c r="D47" s="9"/>
    </row>
  </sheetData>
  <pageMargins left="0.75" right="0.75" top="1" bottom="1" header="0.511811023622047" footer="0.511811023622047"/>
  <pageSetup paperSize="9" orientation="portrait" horizontalDpi="300" verticalDpi="300"/>
  <headerFooter>
    <oddFooter>&amp;C_x000D_&amp;1#&amp;"Aptos"&amp;4&amp;K000000 Public - Diffusion autorisée sans restriction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showGridLines="0" zoomScaleNormal="100" workbookViewId="0">
      <selection activeCell="Y25" sqref="Y25"/>
    </sheetView>
  </sheetViews>
  <sheetFormatPr defaultColWidth="8.7109375" defaultRowHeight="15"/>
  <cols>
    <col min="1" max="2" width="25" customWidth="1"/>
    <col min="3" max="3" width="16.85546875" customWidth="1"/>
    <col min="4" max="4" width="18.7109375" customWidth="1"/>
  </cols>
  <sheetData>
    <row r="1" spans="1:4">
      <c r="A1" s="61" t="s">
        <v>416</v>
      </c>
      <c r="B1" s="62" t="s">
        <v>417</v>
      </c>
      <c r="C1" t="s">
        <v>418</v>
      </c>
      <c r="D1" t="s">
        <v>82</v>
      </c>
    </row>
    <row r="2" spans="1:4">
      <c r="A2" s="63" t="s">
        <v>42</v>
      </c>
      <c r="B2" s="63" t="s">
        <v>88</v>
      </c>
    </row>
    <row r="3" spans="1:4">
      <c r="A3" s="63" t="s">
        <v>44</v>
      </c>
      <c r="B3" s="63" t="s">
        <v>113</v>
      </c>
    </row>
    <row r="4" spans="1:4">
      <c r="A4" s="63" t="s">
        <v>46</v>
      </c>
      <c r="B4" s="63" t="s">
        <v>419</v>
      </c>
    </row>
    <row r="5" spans="1:4">
      <c r="A5" s="63" t="s">
        <v>48</v>
      </c>
      <c r="B5" s="63" t="s">
        <v>101</v>
      </c>
    </row>
    <row r="6" spans="1:4">
      <c r="A6" s="63" t="s">
        <v>50</v>
      </c>
      <c r="B6" s="63" t="s">
        <v>123</v>
      </c>
    </row>
    <row r="7" spans="1:4">
      <c r="A7" s="63" t="s">
        <v>52</v>
      </c>
      <c r="B7" s="63" t="s">
        <v>420</v>
      </c>
    </row>
    <row r="8" spans="1:4">
      <c r="A8" s="63" t="s">
        <v>54</v>
      </c>
      <c r="B8" s="63" t="s">
        <v>421</v>
      </c>
    </row>
    <row r="9" spans="1:4">
      <c r="B9" s="63" t="s">
        <v>422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&amp;C_x000D_&amp;1#&amp;"Aptos"&amp;4&amp;K000000 Public - Diffusion autorisée sans restriction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644F8-60F3-4B63-9D07-FDDF248A6CB8}">
  <dimension ref="A1:H15"/>
  <sheetViews>
    <sheetView workbookViewId="0">
      <selection activeCell="B2" sqref="B2"/>
    </sheetView>
  </sheetViews>
  <sheetFormatPr defaultRowHeight="15"/>
  <cols>
    <col min="1" max="1" width="37.140625" customWidth="1"/>
    <col min="2" max="2" width="26" customWidth="1"/>
    <col min="3" max="3" width="21.7109375" customWidth="1"/>
    <col min="4" max="4" width="16.5703125" customWidth="1"/>
    <col min="5" max="5" width="12.5703125" customWidth="1"/>
    <col min="6" max="6" width="48.140625" customWidth="1"/>
  </cols>
  <sheetData>
    <row r="1" spans="1:8" ht="33" customHeight="1">
      <c r="A1" s="182" t="s">
        <v>423</v>
      </c>
      <c r="B1" s="184"/>
      <c r="C1" s="184"/>
      <c r="D1" s="184"/>
      <c r="E1" s="184"/>
      <c r="F1" s="184"/>
      <c r="H1" s="64"/>
    </row>
    <row r="2" spans="1:8" ht="37.5" customHeight="1">
      <c r="A2" s="65" t="s">
        <v>376</v>
      </c>
      <c r="B2" s="65" t="s">
        <v>424</v>
      </c>
      <c r="C2" s="65" t="s">
        <v>425</v>
      </c>
      <c r="D2" s="65" t="s">
        <v>426</v>
      </c>
      <c r="E2" s="65" t="s">
        <v>427</v>
      </c>
      <c r="F2" s="65" t="s">
        <v>428</v>
      </c>
    </row>
    <row r="3" spans="1:8">
      <c r="A3" s="66" t="s">
        <v>429</v>
      </c>
      <c r="B3" s="67">
        <v>15</v>
      </c>
      <c r="C3" s="67">
        <v>15</v>
      </c>
      <c r="D3" s="67">
        <v>16</v>
      </c>
      <c r="E3" s="67">
        <v>11</v>
      </c>
      <c r="F3" s="68" t="s">
        <v>430</v>
      </c>
    </row>
    <row r="4" spans="1:8">
      <c r="A4" s="69" t="s">
        <v>431</v>
      </c>
      <c r="B4" s="70">
        <v>9</v>
      </c>
      <c r="C4" s="70">
        <v>10</v>
      </c>
      <c r="D4" s="70">
        <v>9</v>
      </c>
      <c r="E4" s="70">
        <v>11</v>
      </c>
      <c r="F4" s="68" t="s">
        <v>432</v>
      </c>
    </row>
    <row r="5" spans="1:8">
      <c r="A5" s="66" t="s">
        <v>433</v>
      </c>
      <c r="B5" s="67">
        <v>5</v>
      </c>
      <c r="C5" s="67">
        <v>6</v>
      </c>
      <c r="D5" s="67">
        <v>7</v>
      </c>
      <c r="E5" s="67">
        <v>2</v>
      </c>
      <c r="F5" s="68" t="s">
        <v>434</v>
      </c>
      <c r="H5" s="64"/>
    </row>
    <row r="6" spans="1:8">
      <c r="A6" s="69" t="s">
        <v>435</v>
      </c>
      <c r="B6" s="70">
        <v>5</v>
      </c>
      <c r="C6" s="70">
        <v>6</v>
      </c>
      <c r="D6" s="70">
        <v>0</v>
      </c>
      <c r="E6" s="70">
        <v>2</v>
      </c>
      <c r="F6" s="68" t="s">
        <v>436</v>
      </c>
    </row>
    <row r="7" spans="1:8">
      <c r="A7" s="66" t="s">
        <v>437</v>
      </c>
      <c r="B7" s="67">
        <v>0</v>
      </c>
      <c r="C7" s="67">
        <v>2</v>
      </c>
      <c r="D7" s="67">
        <v>4</v>
      </c>
      <c r="E7" s="67">
        <v>0</v>
      </c>
      <c r="F7" s="68" t="s">
        <v>438</v>
      </c>
    </row>
    <row r="8" spans="1:8" ht="24">
      <c r="A8" s="69" t="s">
        <v>439</v>
      </c>
      <c r="B8" s="70">
        <v>0</v>
      </c>
      <c r="C8" s="70">
        <v>1</v>
      </c>
      <c r="D8" s="70">
        <v>5</v>
      </c>
      <c r="E8" s="70">
        <v>0</v>
      </c>
      <c r="F8" s="68" t="s">
        <v>440</v>
      </c>
    </row>
    <row r="9" spans="1:8">
      <c r="A9" s="66" t="s">
        <v>441</v>
      </c>
      <c r="B9" s="67">
        <v>1</v>
      </c>
      <c r="C9" s="67">
        <v>6</v>
      </c>
      <c r="D9" s="67">
        <v>2</v>
      </c>
      <c r="E9" s="67">
        <v>2</v>
      </c>
      <c r="F9" s="68" t="s">
        <v>442</v>
      </c>
    </row>
    <row r="10" spans="1:8" ht="24">
      <c r="A10" s="69" t="s">
        <v>443</v>
      </c>
      <c r="B10" s="70">
        <v>1</v>
      </c>
      <c r="C10" s="70">
        <v>0</v>
      </c>
      <c r="D10" s="70">
        <v>0</v>
      </c>
      <c r="E10" s="70">
        <v>0</v>
      </c>
      <c r="F10" s="68" t="s">
        <v>444</v>
      </c>
    </row>
    <row r="12" spans="1:8" ht="37.5" customHeight="1">
      <c r="A12" s="183" t="s">
        <v>445</v>
      </c>
      <c r="B12" s="184"/>
      <c r="C12" s="184"/>
      <c r="D12" s="184"/>
      <c r="E12" s="184"/>
      <c r="F12" s="184"/>
    </row>
    <row r="13" spans="1:8" ht="29.25" customHeight="1">
      <c r="A13" s="71" t="s">
        <v>446</v>
      </c>
      <c r="B13" s="185"/>
      <c r="C13" s="185"/>
      <c r="D13" s="185"/>
      <c r="E13" s="185"/>
      <c r="F13" s="185"/>
    </row>
    <row r="14" spans="1:8" ht="27" customHeight="1">
      <c r="A14" s="71" t="s">
        <v>447</v>
      </c>
      <c r="B14" s="185"/>
      <c r="C14" s="184"/>
      <c r="D14" s="184"/>
      <c r="E14" s="184"/>
      <c r="F14" s="184"/>
    </row>
    <row r="15" spans="1:8" ht="33" customHeight="1">
      <c r="A15" s="71" t="s">
        <v>448</v>
      </c>
      <c r="B15" s="185"/>
      <c r="C15" s="184"/>
      <c r="D15" s="184"/>
      <c r="E15" s="184"/>
      <c r="F15" s="184"/>
    </row>
  </sheetData>
  <mergeCells count="5">
    <mergeCell ref="A1:F1"/>
    <mergeCell ref="A12:F12"/>
    <mergeCell ref="B13:F13"/>
    <mergeCell ref="B14:F14"/>
    <mergeCell ref="B15:F15"/>
  </mergeCells>
  <pageMargins left="0.7" right="0.7" top="0.75" bottom="0.75" header="0.3" footer="0.3"/>
  <headerFooter>
    <oddFooter>&amp;C_x000D_&amp;1#&amp;"Aptos"&amp;4&amp;K000000 Public - Diffusion autorisée sans restriction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8207F-7F7F-47AE-81AC-A941B7ADD113}">
  <dimension ref="A1:F15"/>
  <sheetViews>
    <sheetView workbookViewId="0">
      <selection activeCell="C8" sqref="C8"/>
    </sheetView>
  </sheetViews>
  <sheetFormatPr defaultRowHeight="15"/>
  <cols>
    <col min="1" max="1" width="59.85546875" customWidth="1"/>
    <col min="2" max="2" width="29.140625" customWidth="1"/>
    <col min="3" max="3" width="30.140625" customWidth="1"/>
    <col min="4" max="4" width="28" customWidth="1"/>
    <col min="5" max="5" width="26.42578125" customWidth="1"/>
  </cols>
  <sheetData>
    <row r="1" spans="1:6" ht="16.5" customHeight="1">
      <c r="A1" s="182" t="s">
        <v>423</v>
      </c>
      <c r="B1" s="184"/>
      <c r="C1" s="184"/>
      <c r="D1" s="184"/>
      <c r="E1" s="184"/>
      <c r="F1" s="184"/>
    </row>
    <row r="2" spans="1:6" ht="24">
      <c r="A2" s="65" t="s">
        <v>376</v>
      </c>
      <c r="B2" s="65" t="s">
        <v>424</v>
      </c>
      <c r="C2" s="65" t="s">
        <v>425</v>
      </c>
      <c r="D2" s="65" t="s">
        <v>426</v>
      </c>
      <c r="E2" s="65" t="s">
        <v>427</v>
      </c>
      <c r="F2" s="65" t="s">
        <v>428</v>
      </c>
    </row>
    <row r="3" spans="1:6" ht="24">
      <c r="A3" s="66" t="s">
        <v>429</v>
      </c>
      <c r="B3" s="67"/>
      <c r="C3" s="67"/>
      <c r="D3" s="67"/>
      <c r="E3" s="67"/>
      <c r="F3" s="68" t="s">
        <v>430</v>
      </c>
    </row>
    <row r="4" spans="1:6" ht="24">
      <c r="A4" s="69" t="s">
        <v>431</v>
      </c>
      <c r="B4" s="70"/>
      <c r="C4" s="70"/>
      <c r="D4" s="70"/>
      <c r="E4" s="70"/>
      <c r="F4" s="68" t="s">
        <v>432</v>
      </c>
    </row>
    <row r="5" spans="1:6">
      <c r="A5" s="66" t="s">
        <v>433</v>
      </c>
      <c r="B5" s="67"/>
      <c r="C5" s="67"/>
      <c r="D5" s="67"/>
      <c r="E5" s="67"/>
      <c r="F5" s="68" t="s">
        <v>434</v>
      </c>
    </row>
    <row r="6" spans="1:6" ht="16.5" customHeight="1">
      <c r="A6" s="69" t="s">
        <v>435</v>
      </c>
      <c r="B6" s="70"/>
      <c r="C6" s="70"/>
      <c r="D6" s="70"/>
      <c r="E6" s="70"/>
      <c r="F6" s="68" t="s">
        <v>436</v>
      </c>
    </row>
    <row r="7" spans="1:6">
      <c r="A7" s="66" t="s">
        <v>437</v>
      </c>
      <c r="B7" s="67"/>
      <c r="C7" s="67"/>
      <c r="D7" s="67"/>
      <c r="E7" s="67"/>
      <c r="F7" s="68" t="s">
        <v>438</v>
      </c>
    </row>
    <row r="8" spans="1:6">
      <c r="A8" s="69" t="s">
        <v>449</v>
      </c>
      <c r="B8" s="70"/>
      <c r="C8" s="70"/>
      <c r="D8" s="70"/>
      <c r="E8" s="70"/>
      <c r="F8" s="68" t="s">
        <v>440</v>
      </c>
    </row>
    <row r="9" spans="1:6">
      <c r="A9" s="66" t="s">
        <v>441</v>
      </c>
      <c r="B9" s="67"/>
      <c r="C9" s="67"/>
      <c r="D9" s="67"/>
      <c r="E9" s="67"/>
      <c r="F9" s="68" t="s">
        <v>442</v>
      </c>
    </row>
    <row r="10" spans="1:6">
      <c r="A10" s="69" t="s">
        <v>443</v>
      </c>
      <c r="B10" s="70"/>
      <c r="C10" s="70"/>
      <c r="D10" s="70"/>
      <c r="E10" s="70"/>
      <c r="F10" s="68" t="s">
        <v>444</v>
      </c>
    </row>
    <row r="12" spans="1:6">
      <c r="A12" s="183" t="s">
        <v>445</v>
      </c>
      <c r="B12" s="184"/>
      <c r="C12" s="184"/>
      <c r="D12" s="184"/>
      <c r="E12" s="184"/>
      <c r="F12" s="184"/>
    </row>
    <row r="13" spans="1:6">
      <c r="A13" s="71" t="s">
        <v>446</v>
      </c>
      <c r="B13" s="185"/>
      <c r="C13" s="185"/>
      <c r="D13" s="185"/>
      <c r="E13" s="185"/>
      <c r="F13" s="185"/>
    </row>
    <row r="14" spans="1:6">
      <c r="A14" s="71" t="s">
        <v>447</v>
      </c>
      <c r="B14" s="185"/>
      <c r="C14" s="184"/>
      <c r="D14" s="184"/>
      <c r="E14" s="184"/>
      <c r="F14" s="184"/>
    </row>
    <row r="15" spans="1:6">
      <c r="A15" s="71" t="s">
        <v>448</v>
      </c>
      <c r="B15" s="185"/>
      <c r="C15" s="184"/>
      <c r="D15" s="184"/>
      <c r="E15" s="184"/>
      <c r="F15" s="184"/>
    </row>
  </sheetData>
  <mergeCells count="5">
    <mergeCell ref="A1:F1"/>
    <mergeCell ref="A12:F12"/>
    <mergeCell ref="B13:F13"/>
    <mergeCell ref="B14:F14"/>
    <mergeCell ref="B15:F15"/>
  </mergeCells>
  <pageMargins left="0.7" right="0.7" top="0.75" bottom="0.75" header="0.3" footer="0.3"/>
  <headerFooter>
    <oddFooter>&amp;C_x000D_&amp;1#&amp;"Aptos"&amp;4&amp;K000000 Public - Diffusion autorisée sans restriction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2E2E8ED76884D8155366378922001" ma:contentTypeVersion="12" ma:contentTypeDescription="Crée un document." ma:contentTypeScope="" ma:versionID="8698bf2a2e5e58b498b1dbb7647f6ff0">
  <xsd:schema xmlns:xsd="http://www.w3.org/2001/XMLSchema" xmlns:xs="http://www.w3.org/2001/XMLSchema" xmlns:p="http://schemas.microsoft.com/office/2006/metadata/properties" xmlns:ns2="d66fd336-9167-427e-ab46-9e5b5fd5f930" xmlns:ns3="32357ad4-2bc2-4e9c-9e21-a7fecc15c2b3" targetNamespace="http://schemas.microsoft.com/office/2006/metadata/properties" ma:root="true" ma:fieldsID="b6a7c72569bf265cee27eda7ab8d95fa" ns2:_="" ns3:_="">
    <xsd:import namespace="d66fd336-9167-427e-ab46-9e5b5fd5f930"/>
    <xsd:import namespace="32357ad4-2bc2-4e9c-9e21-a7fecc15c2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6fd336-9167-427e-ab46-9e5b5fd5f9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779b1456-88d4-4f28-a0e3-e841d6a99c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357ad4-2bc2-4e9c-9e21-a7fecc15c2b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e3217ea-34a9-4ba3-a04f-a59b39f3bd38}" ma:internalName="TaxCatchAll" ma:showField="CatchAllData" ma:web="32357ad4-2bc2-4e9c-9e21-a7fecc15c2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357ad4-2bc2-4e9c-9e21-a7fecc15c2b3" xsi:nil="true"/>
    <lcf76f155ced4ddcb4097134ff3c332f xmlns="d66fd336-9167-427e-ab46-9e5b5fd5f9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75B854-FE31-458C-8214-27DA1AD043BE}"/>
</file>

<file path=customXml/itemProps2.xml><?xml version="1.0" encoding="utf-8"?>
<ds:datastoreItem xmlns:ds="http://schemas.openxmlformats.org/officeDocument/2006/customXml" ds:itemID="{89492941-2F50-42A6-8D70-A4519412D087}"/>
</file>

<file path=customXml/itemProps3.xml><?xml version="1.0" encoding="utf-8"?>
<ds:datastoreItem xmlns:ds="http://schemas.openxmlformats.org/officeDocument/2006/customXml" ds:itemID="{2EB9B48C-C85F-4876-964F-F1A64725F7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2026-04-08T22:29:32Z</dcterms:created>
  <dcterms:modified xsi:type="dcterms:W3CDTF">2026-10-24T18:56:26Z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0x0101004C12E2E8ED76884D8155366378922001</vt:lpwstr>
  </property>
  <property fmtid="{D5CDD505-2E9C-101B-9397-08002B2CF9AE}" pid="3" name="MediaServiceImageTags">
    <vt:lpwstr/>
  </property>
  <property fmtid="{D5CDD505-2E9C-101B-9397-08002B2CF9AE}" pid="4" name="MSIP_Label_bc0dcf5d-e8d4-4d94-9222-1ead495eb83d_Enabled">
    <vt:lpwstr>true</vt:lpwstr>
  </property>
  <property fmtid="{D5CDD505-2E9C-101B-9397-08002B2CF9AE}" pid="5" name="MSIP_Label_bc0dcf5d-e8d4-4d94-9222-1ead495eb83d_SetDate">
    <vt:lpwstr>2026-07-13T09:53:27Z</vt:lpwstr>
  </property>
  <property fmtid="{D5CDD505-2E9C-101B-9397-08002B2CF9AE}" pid="6" name="MSIP_Label_bc0dcf5d-e8d4-4d94-9222-1ead495eb83d_Method">
    <vt:lpwstr>Standard</vt:lpwstr>
  </property>
  <property fmtid="{D5CDD505-2E9C-101B-9397-08002B2CF9AE}" pid="7" name="MSIP_Label_bc0dcf5d-e8d4-4d94-9222-1ead495eb83d_Name">
    <vt:lpwstr>Public</vt:lpwstr>
  </property>
  <property fmtid="{D5CDD505-2E9C-101B-9397-08002B2CF9AE}" pid="8" name="MSIP_Label_bc0dcf5d-e8d4-4d94-9222-1ead495eb83d_SiteId">
    <vt:lpwstr>f1525be4-c041-4c0d-a3f9-56645b195edd</vt:lpwstr>
  </property>
  <property fmtid="{D5CDD505-2E9C-101B-9397-08002B2CF9AE}" pid="9" name="MSIP_Label_bc0dcf5d-e8d4-4d94-9222-1ead495eb83d_ActionId">
    <vt:lpwstr>5ee1fb67-7096-4a40-94d1-b8d2d004a694</vt:lpwstr>
  </property>
  <property fmtid="{D5CDD505-2E9C-101B-9397-08002B2CF9AE}" pid="10" name="MSIP_Label_bc0dcf5d-e8d4-4d94-9222-1ead495eb83d_ContentBits">
    <vt:lpwstr>2</vt:lpwstr>
  </property>
  <property fmtid="{D5CDD505-2E9C-101B-9397-08002B2CF9AE}" pid="11" name="MSIP_Label_bc0dcf5d-e8d4-4d94-9222-1ead495eb83d_Tag">
    <vt:lpwstr>10, 3, 0, 2</vt:lpwstr>
  </property>
</Properties>
</file>